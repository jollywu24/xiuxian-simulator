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6af4b7692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转型总览" sheetId="1" r:id="R27f18f4cf59e4f49"/>
    <x:sheet xmlns:r="http://schemas.openxmlformats.org/officeDocument/2006/relationships" name="任务清单" sheetId="2" r:id="R5cfa613221a34d73"/>
    <x:sheet xmlns:r="http://schemas.openxmlformats.org/officeDocument/2006/relationships" name="内容规模" sheetId="3" r:id="Rc543babcae234d68"/>
    <x:sheet xmlns:r="http://schemas.openxmlformats.org/officeDocument/2006/relationships" name="交互与后果" sheetId="4" r:id="Rf5631c3ad83246e5"/>
    <x:sheet xmlns:r="http://schemas.openxmlformats.org/officeDocument/2006/relationships" name="美术资产" sheetId="5" r:id="Rc8b3df347c8a40da"/>
    <x:sheet xmlns:r="http://schemas.openxmlformats.org/officeDocument/2006/relationships" name="数据与工具" sheetId="6" r:id="R8d3374af48b64a85"/>
    <x:sheet xmlns:r="http://schemas.openxmlformats.org/officeDocument/2006/relationships" name="阶段验收" sheetId="7" r:id="R67be2502c8a54079"/>
    <x:sheet xmlns:r="http://schemas.openxmlformats.org/officeDocument/2006/relationships" name="现状与迁移" sheetId="8" r:id="Rde40a7aed5974c64"/>
    <x:sheet xmlns:r="http://schemas.openxmlformats.org/officeDocument/2006/relationships" name="对标取舍" sheetId="9" r:id="R262ba53f243e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sz val="11"/>
      <x:color rgb="FF24383F"/>
      <x:name val="Noto Sans SC"/>
    </x:font>
    <x:font>
      <x:b/>
      <x:sz val="17"/>
      <x:color rgb="FF203D45"/>
      <x:name val="Noto Sans SC"/>
    </x:font>
    <x:font>
      <x:sz val="10"/>
      <x:color rgb="FF536B73"/>
      <x:name val="Noto Sans SC"/>
    </x:font>
    <x:font>
      <x:b/>
      <x:sz val="11"/>
      <x:color rgb="FFFFFFFF"/>
      <x:name val="Noto Sans SC"/>
    </x:font>
    <x:font>
      <x:b/>
      <x:sz val="11"/>
      <x:color rgb="FF203D45"/>
      <x:name val="Noto Sans SC"/>
    </x:font>
    <x:font>
      <x:b/>
      <x:sz val="11"/>
      <x:color rgb="FF176F70"/>
      <x:name val="Noto Sans SC"/>
    </x:font>
  </x:fonts>
  <x:fills count="7">
    <x:fill>
      <x:patternFill patternType="none"/>
    </x:fill>
    <x:fill>
      <x:patternFill patternType="gray125"/>
    </x:fill>
    <x:fill>
      <x:patternFill patternType="solid">
        <x:fgColor rgb="FF203D45"/>
      </x:patternFill>
    </x:fill>
    <x:fill>
      <x:patternFill patternType="solid">
        <x:fgColor rgb="FFF1F6F5"/>
      </x:patternFill>
    </x:fill>
    <x:fill>
      <x:patternFill patternType="solid">
        <x:fgColor rgb="FFFFF3CE"/>
      </x:patternFill>
    </x:fill>
    <x:fill>
      <x:patternFill patternType="solid">
        <x:fgColor rgb="FFDEEDE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21553A"/>
      </x:font>
      <x:fill>
        <x:patternFill patternType="solid">
          <x:bgColor rgb="FFD8EBDE"/>
        </x:patternFill>
      </x:fill>
    </x:dxf>
    <x:dxf>
      <x:font>
        <x:color rgb="FF215878"/>
      </x:font>
      <x:fill>
        <x:patternFill patternType="solid">
          <x:bgColor rgb="FFDAEA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26b42f1fd4b58" /><Relationship Type="http://schemas.openxmlformats.org/officeDocument/2006/relationships/theme" Target="/xl/theme/theme1.xml" Id="R059b75acbc86418c" /><Relationship Type="http://schemas.openxmlformats.org/officeDocument/2006/relationships/sharedStrings" Target="/xl/sharedStrings.xml" Id="R623e4d78c8e94d27" /><Relationship Type="http://schemas.openxmlformats.org/officeDocument/2006/relationships/worksheet" Target="/xl/worksheets/sheet1.xml" Id="R27f18f4cf59e4f49" /><Relationship Type="http://schemas.openxmlformats.org/officeDocument/2006/relationships/worksheet" Target="/xl/worksheets/sheet2.xml" Id="R5cfa613221a34d73" /><Relationship Type="http://schemas.openxmlformats.org/officeDocument/2006/relationships/worksheet" Target="/xl/worksheets/sheet3.xml" Id="Rc543babcae234d68" /><Relationship Type="http://schemas.openxmlformats.org/officeDocument/2006/relationships/worksheet" Target="/xl/worksheets/sheet4.xml" Id="Rf5631c3ad83246e5" /><Relationship Type="http://schemas.openxmlformats.org/officeDocument/2006/relationships/worksheet" Target="/xl/worksheets/sheet5.xml" Id="Rc8b3df347c8a40da" /><Relationship Type="http://schemas.openxmlformats.org/officeDocument/2006/relationships/worksheet" Target="/xl/worksheets/sheet6.xml" Id="R8d3374af48b64a85" /><Relationship Type="http://schemas.openxmlformats.org/officeDocument/2006/relationships/worksheet" Target="/xl/worksheets/sheet7.xml" Id="R67be2502c8a54079" /><Relationship Type="http://schemas.openxmlformats.org/officeDocument/2006/relationships/worksheet" Target="/xl/worksheets/sheet8.xml" Id="Rde40a7aed5974c64" /><Relationship Type="http://schemas.openxmlformats.org/officeDocument/2006/relationships/worksheet" Target="/xl/worksheets/sheet9.xml" Id="R262ba53f243e4c20" /></Relationships>
</file>

<file path=xl/tables/table1.xml><?xml version="1.0" encoding="utf-8"?>
<x:table xmlns:x="http://schemas.openxmlformats.org/spreadsheetml/2006/main" id="1" name="WudaoTasks" displayName="WudaoTasks" ref="A5:N197" headerRowCount="1" totalsRowCount="0" totalsRowShown="0">
  <x:autoFilter ref="A5:N197"/>
  <x:tableColumns count="14">
    <x:tableColumn id="1" name="编号"/>
    <x:tableColumn id="2" name="模块"/>
    <x:tableColumn id="3" name="工作包"/>
    <x:tableColumn id="4" name="实际交付"/>
    <x:tableColumn id="5" name="验收条件"/>
    <x:tableColumn id="6" name="前置编号"/>
    <x:tableColumn id="7" name="阶段"/>
    <x:tableColumn id="8" name="优先级"/>
    <x:tableColumn id="9" name="建议主责"/>
    <x:tableColumn id="10" name="处理方式"/>
    <x:tableColumn id="11" name="状态"/>
    <x:tableColumn id="12" name="负责人"/>
    <x:tableColumn id="13" name="预估人日"/>
    <x:tableColumn id="14" name="实际人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udaoScope" displayName="WudaoScope" ref="A5:I37" headerRowCount="1" totalsRowCount="0" totalsRowShown="0">
  <x:autoFilter ref="A5:I37"/>
  <x:tableColumns count="9">
    <x:tableColumn id="1" name="类别"/>
    <x:tableColumn id="2" name="内容项"/>
    <x:tableColumn id="3" name="单位"/>
    <x:tableColumn id="4" name="单镇切片"/>
    <x:tableColumn id="5" name="区域验证"/>
    <x:tableColumn id="6" name="首发基线"/>
    <x:tableColumn id="7" name="计数口径"/>
    <x:tableColumn id="8" name="预算注意点"/>
    <x:tableColumn id="9" name="工作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udaoInteractions" displayName="WudaoInteractions" ref="A5:I21" headerRowCount="1" totalsRowCount="0" totalsRowShown="0">
  <x:autoFilter ref="A5:I21"/>
  <x:tableColumns count="9">
    <x:tableColumn id="1" name="行动"/>
    <x:tableColumn id="2" name="前置条件"/>
    <x:tableColumn id="3" name="成本／风险"/>
    <x:tableColumn id="4" name="成功结果"/>
    <x:tableColumn id="5" name="失败／替代"/>
    <x:tableColumn id="6" name="目击与知情"/>
    <x:tableColumn id="7" name="影响系统"/>
    <x:tableColumn id="8" name="关键验收"/>
    <x:tableColumn id="9" name="工作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udaoArt" displayName="WudaoArt" ref="A5:H27" headerRowCount="1" totalsRowCount="0" totalsRowShown="0">
  <x:autoFilter ref="A5:H27"/>
  <x:tableColumns count="8">
    <x:tableColumn id="1" name="资产包"/>
    <x:tableColumn id="2" name="需要制作的内容"/>
    <x:tableColumn id="3" name="数量／估算口径"/>
    <x:tableColumn id="4" name="状态与变体"/>
    <x:tableColumn id="5" name="交付文件"/>
    <x:tableColumn id="6" name="运行时验收"/>
    <x:tableColumn id="7" name="生成与复用策略"/>
    <x:tableColumn id="8" name="工作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udaoData" displayName="WudaoData" ref="A5:G21" headerRowCount="1" totalsRowCount="0" totalsRowShown="0">
  <x:autoFilter ref="A5:G21"/>
  <x:tableColumns count="7">
    <x:tableColumn id="1" name="实体／服务"/>
    <x:tableColumn id="2" name="关键字段"/>
    <x:tableColumn id="3" name="状态归属与生命周期"/>
    <x:tableColumn id="4" name="制作／调试工具"/>
    <x:tableColumn id="5" name="硬性不变量"/>
    <x:tableColumn id="6" name="边界案例"/>
    <x:tableColumn id="7" name="工作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udaoGates" displayName="WudaoGates" ref="A5:G22" headerRowCount="1" totalsRowCount="0" totalsRowShown="0">
  <x:autoFilter ref="A5:G22"/>
  <x:tableColumns count="7">
    <x:tableColumn id="1" name="类型"/>
    <x:tableColumn id="2" name="阶段／案例"/>
    <x:tableColumn id="3" name="目标／触发操作"/>
    <x:tableColumn id="4" name="需检查的交付与状态"/>
    <x:tableColumn id="5" name="通过条件"/>
    <x:tableColumn id="6" name="注意点"/>
    <x:tableColumn id="7" name="工作包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udaoMigration" displayName="WudaoMigration" ref="A5:F20" headerRowCount="1" totalsRowCount="0" totalsRowShown="0">
  <x:autoFilter ref="A5:F20"/>
  <x:tableColumns count="6">
    <x:tableColumn id="1" name="模块"/>
    <x:tableColumn id="2" name="当前观察"/>
    <x:tableColumn id="3" name="可保留价值"/>
    <x:tableColumn id="4" name="转型需要完成"/>
    <x:tableColumn id="5" name="判断边界"/>
    <x:tableColumn id="6" name="本地源码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udaoReferences" displayName="WudaoReferences" ref="A5:H13" headerRowCount="1" totalsRowCount="0" totalsRowShown="0">
  <x:autoFilter ref="A5:H13"/>
  <x:tableColumns count="8">
    <x:tableColumn id="1" name="参考／决策"/>
    <x:tableColumn id="2" name="已核实特征／建议基线"/>
    <x:tableColumn id="3" name="武道采用方向"/>
    <x:tableColumn id="4" name="落地方式"/>
    <x:tableColumn id="5" name="不直接继承的范围／边界"/>
    <x:tableColumn id="6" name="依据类型"/>
    <x:tableColumn id="7" name="来源网址"/>
    <x:tableColumn id="8" name="核对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37378f8b2f4a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0fc85c797a43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ed6994e3fc41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bd9e7218d24f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fc95cc8bf647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8ef77ebe4441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ed42afc02247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2d47cb0ebf4f3e" /></Relationships>
</file>

<file path=xl/worksheets/sheet1.xml><?xml version="1.0" encoding="utf-8"?>
<x:worksheet xmlns:x="http://schemas.openxmlformats.org/spreadsheetml/2006/main">
  <x:sheetPr>
    <x:tabColor rgb="FF176F7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1" hidden="0" customWidth="1"/>
    <x:col min="5" max="5" width="11" hidden="0" customWidth="1"/>
    <x:col min="6" max="6" width="13" hidden="0" customWidth="1"/>
    <x:col min="7" max="7" width="4" hidden="0" customWidth="1"/>
    <x:col min="8" max="8" width="27" hidden="0" customWidth="1"/>
    <x:col min="9" max="9" width="14" hidden="0" customWidth="1"/>
    <x:col min="10" max="10" width="30" hidden="0" customWidth="1"/>
    <x:col min="11" max="11" width="47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5" t="str">
        <x:v>武道｜武侠沙盒转型工作分解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7" t="str">
        <x:v>192个工作包 · 24个模块 · 2026-09-16；此表是可调整的产品与制作基线。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1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2" customHeight="1">
      <x:c r="A5" s="10" t="str">
        <x:v>模块</x:v>
      </x:c>
      <x:c r="B5" s="10" t="str">
        <x:v>工作包数</x:v>
      </x:c>
      <x:c r="C5" s="10" t="str">
        <x:v>首发必需</x:v>
      </x:c>
      <x:c r="D5" s="10" t="str">
        <x:v>增强</x:v>
      </x:c>
      <x:c r="E5" s="10" t="str">
        <x:v>后续</x:v>
      </x:c>
      <x:c r="F5" s="10" t="str">
        <x:v>已验收</x:v>
      </x:c>
      <x:c r="G5" s="3"/>
      <x:c r="H5" s="10" t="str">
        <x:v>阶段</x:v>
      </x:c>
      <x:c r="I5" s="10" t="str">
        <x:v>工作包数</x:v>
      </x:c>
      <x:c r="J5" s="10" t="str">
        <x:v>已验收</x:v>
      </x:c>
      <x:c r="K5" s="10" t="str">
        <x:v>阶段要解决的问题</x:v>
      </x:c>
    </x:row>
    <x:row r="6" ht="58" customHeight="1">
      <x:c r="A6" s="11" t="str">
        <x:v>产品与规则边界</x:v>
      </x:c>
      <x:c r="B6" s="15" t="n">
        <x:f>COUNTIF('任务清单'!$B$6:$B$197,A6)</x:f>
        <x:v>8</x:v>
      </x:c>
      <x:c r="C6" s="15" t="n">
        <x:f>COUNTIFS('任务清单'!$B$6:$B$197,A6,'任务清单'!$H$6:$H$197,"必需")</x:f>
        <x:v>8</x:v>
      </x:c>
      <x:c r="D6" s="15" t="n">
        <x:f>COUNTIFS('任务清单'!$B$6:$B$197,A6,'任务清单'!$H$6:$H$197,"增强")</x:f>
        <x:v>0</x:v>
      </x:c>
      <x:c r="E6" s="15" t="n">
        <x:f>COUNTIFS('任务清单'!$B$6:$B$197,A6,'任务清单'!$H$6:$H$197,"后续")</x:f>
        <x:v>0</x:v>
      </x:c>
      <x:c r="F6" s="15" t="n">
        <x:f>COUNTIFS('任务清单'!$B$6:$B$197,A6,'任务清单'!$K$6:$K$197,"已验收")</x:f>
        <x:v>0</x:v>
      </x:c>
      <x:c r="G6" s="3"/>
      <x:c r="H6" s="11" t="str">
        <x:v>S0</x:v>
      </x:c>
      <x:c r="I6" s="15" t="n">
        <x:f>COUNTIF('任务清单'!$G$6:$G$197,H6)</x:f>
        <x:v>11</x:v>
      </x:c>
      <x:c r="J6" s="15" t="n">
        <x:f>COUNTIFS('任务清单'!$G$6:$G$197,H6,'任务清单'!$K$6:$K$197,"已验收")</x:f>
        <x:v>0</x:v>
      </x:c>
      <x:c r="K6" s="11" t="str">
        <x:v>定标：玩法、视觉、自由度、平台与数据边界</x:v>
      </x:c>
    </x:row>
    <x:row r="7" ht="58" customHeight="1">
      <x:c r="A7" s="3" t="str">
        <x:v>世界与地图</x:v>
      </x:c>
      <x:c r="B7" s="16" t="n">
        <x:f>COUNTIF('任务清单'!$B$6:$B$197,A7)</x:f>
        <x:v>9</x:v>
      </x:c>
      <x:c r="C7" s="16" t="n">
        <x:f>COUNTIFS('任务清单'!$B$6:$B$197,A7,'任务清单'!$H$6:$H$197,"必需")</x:f>
        <x:v>9</x:v>
      </x:c>
      <x:c r="D7" s="16" t="n">
        <x:f>COUNTIFS('任务清单'!$B$6:$B$197,A7,'任务清单'!$H$6:$H$197,"增强")</x:f>
        <x:v>0</x:v>
      </x:c>
      <x:c r="E7" s="16" t="n">
        <x:f>COUNTIFS('任务清单'!$B$6:$B$197,A7,'任务清单'!$H$6:$H$197,"后续")</x:f>
        <x:v>0</x:v>
      </x:c>
      <x:c r="F7" s="16" t="n">
        <x:f>COUNTIFS('任务清单'!$B$6:$B$197,A7,'任务清单'!$K$6:$K$197,"已验收")</x:f>
        <x:v>0</x:v>
      </x:c>
      <x:c r="G7" s="3"/>
      <x:c r="H7" s="28" t="str">
        <x:v>S1</x:v>
      </x:c>
      <x:c r="I7" s="29" t="n">
        <x:f>COUNTIF('任务清单'!$G$6:$G$197,H7)</x:f>
        <x:v>77</x:v>
      </x:c>
      <x:c r="J7" s="29" t="n">
        <x:f>COUNTIFS('任务清单'!$G$6:$G$197,H7,'任务清单'!$K$6:$K$197,"已验收")</x:f>
        <x:v>0</x:v>
      </x:c>
      <x:c r="K7" s="28" t="str">
        <x:v>单镇：验证多解行动、队伍战斗、反馈和资产成本</x:v>
      </x:c>
    </x:row>
    <x:row r="8" ht="58" customHeight="1">
      <x:c r="A8" s="11" t="str">
        <x:v>通用行动与交互</x:v>
      </x:c>
      <x:c r="B8" s="15" t="n">
        <x:f>COUNTIF('任务清单'!$B$6:$B$197,A8)</x:f>
        <x:v>8</x:v>
      </x:c>
      <x:c r="C8" s="15" t="n">
        <x:f>COUNTIFS('任务清单'!$B$6:$B$197,A8,'任务清单'!$H$6:$H$197,"必需")</x:f>
        <x:v>8</x:v>
      </x:c>
      <x:c r="D8" s="15" t="n">
        <x:f>COUNTIFS('任务清单'!$B$6:$B$197,A8,'任务清单'!$H$6:$H$197,"增强")</x:f>
        <x:v>0</x:v>
      </x:c>
      <x:c r="E8" s="15" t="n">
        <x:f>COUNTIFS('任务清单'!$B$6:$B$197,A8,'任务清单'!$H$6:$H$197,"后续")</x:f>
        <x:v>0</x:v>
      </x:c>
      <x:c r="F8" s="15" t="n">
        <x:f>COUNTIFS('任务清单'!$B$6:$B$197,A8,'任务清单'!$K$6:$K$197,"已验收")</x:f>
        <x:v>0</x:v>
      </x:c>
      <x:c r="G8" s="3"/>
      <x:c r="H8" s="11" t="str">
        <x:v>S2</x:v>
      </x:c>
      <x:c r="I8" s="15" t="n">
        <x:f>COUNTIF('任务清单'!$G$6:$G$197,H8)</x:f>
        <x:v>69</x:v>
      </x:c>
      <x:c r="J8" s="15" t="n">
        <x:f>COUNTIFS('任务清单'!$G$6:$G$197,H8,'任务清单'!$K$6:$K$197,"已验收")</x:f>
        <x:v>0</x:v>
      </x:c>
      <x:c r="K8" s="11" t="str">
        <x:v>区域：验证复用、日程、跨区后果与制作工具</x:v>
      </x:c>
    </x:row>
    <x:row r="9" ht="58" customHeight="1">
      <x:c r="A9" s="3" t="str">
        <x:v>时间与世界演化</x:v>
      </x:c>
      <x:c r="B9" s="16" t="n">
        <x:f>COUNTIF('任务清单'!$B$6:$B$197,A9)</x:f>
        <x:v>7</x:v>
      </x:c>
      <x:c r="C9" s="16" t="n">
        <x:f>COUNTIFS('任务清单'!$B$6:$B$197,A9,'任务清单'!$H$6:$H$197,"必需")</x:f>
        <x:v>7</x:v>
      </x:c>
      <x:c r="D9" s="16" t="n">
        <x:f>COUNTIFS('任务清单'!$B$6:$B$197,A9,'任务清单'!$H$6:$H$197,"增强")</x:f>
        <x:v>0</x:v>
      </x:c>
      <x:c r="E9" s="16" t="n">
        <x:f>COUNTIFS('任务清单'!$B$6:$B$197,A9,'任务清单'!$H$6:$H$197,"后续")</x:f>
        <x:v>0</x:v>
      </x:c>
      <x:c r="F9" s="16" t="n">
        <x:f>COUNTIFS('任务清单'!$B$6:$B$197,A9,'任务清单'!$K$6:$K$197,"已验收")</x:f>
        <x:v>0</x:v>
      </x:c>
      <x:c r="G9" s="3"/>
      <x:c r="H9" s="28" t="str">
        <x:v>S3</x:v>
      </x:c>
      <x:c r="I9" s="29" t="n">
        <x:f>COUNTIF('任务清单'!$G$6:$G$197,H9)</x:f>
        <x:v>29</x:v>
      </x:c>
      <x:c r="J9" s="29" t="n">
        <x:f>COUNTIFS('任务清单'!$G$6:$G$197,H9,'任务清单'!$K$6:$K$197,"已验收")</x:f>
        <x:v>0</x:v>
      </x:c>
      <x:c r="K9" s="28" t="str">
        <x:v>首发：量产、组合回归、性能和发布质量</x:v>
      </x:c>
    </x:row>
    <x:row r="10" ht="58" customHeight="1">
      <x:c r="A10" s="11" t="str">
        <x:v>NPC与社交</x:v>
      </x:c>
      <x:c r="B10" s="15" t="n">
        <x:f>COUNTIF('任务清单'!$B$6:$B$197,A10)</x:f>
        <x:v>9</x:v>
      </x:c>
      <x:c r="C10" s="15" t="n">
        <x:f>COUNTIFS('任务清单'!$B$6:$B$197,A10,'任务清单'!$H$6:$H$197,"必需")</x:f>
        <x:v>9</x:v>
      </x:c>
      <x:c r="D10" s="15" t="n">
        <x:f>COUNTIFS('任务清单'!$B$6:$B$197,A10,'任务清单'!$H$6:$H$197,"增强")</x:f>
        <x:v>0</x:v>
      </x:c>
      <x:c r="E10" s="15" t="n">
        <x:f>COUNTIFS('任务清单'!$B$6:$B$197,A10,'任务清单'!$H$6:$H$197,"后续")</x:f>
        <x:v>0</x:v>
      </x:c>
      <x:c r="F10" s="15" t="n">
        <x:f>COUNTIFS('任务清单'!$B$6:$B$197,A10,'任务清单'!$K$6:$K$197,"已验收")</x:f>
        <x:v>0</x:v>
      </x:c>
      <x:c r="G10" s="3"/>
      <x:c r="H10" s="11" t="str">
        <x:v>S4</x:v>
      </x:c>
      <x:c r="I10" s="15" t="n">
        <x:f>COUNTIF('任务清单'!$G$6:$G$197,H10)</x:f>
        <x:v>6</x:v>
      </x:c>
      <x:c r="J10" s="15" t="n">
        <x:f>COUNTIFS('任务清单'!$G$6:$G$197,H10,'任务清单'!$K$6:$K$197,"已验收")</x:f>
        <x:v>0</x:v>
      </x:c>
      <x:c r="K10" s="11" t="str">
        <x:v>后续：独立评估高成本扩展，不作为首发门槛</x:v>
      </x:c>
    </x:row>
    <x:row r="11" ht="29" customHeight="1">
      <x:c r="A11" s="3" t="str">
        <x:v>门派与势力</x:v>
      </x:c>
      <x:c r="B11" s="16" t="n">
        <x:f>COUNTIF('任务清单'!$B$6:$B$197,A11)</x:f>
        <x:v>9</x:v>
      </x:c>
      <x:c r="C11" s="16" t="n">
        <x:f>COUNTIFS('任务清单'!$B$6:$B$197,A11,'任务清单'!$H$6:$H$197,"必需")</x:f>
        <x:v>9</x:v>
      </x:c>
      <x:c r="D11" s="16" t="n">
        <x:f>COUNTIFS('任务清单'!$B$6:$B$197,A11,'任务清单'!$H$6:$H$197,"增强")</x:f>
        <x:v>0</x:v>
      </x:c>
      <x:c r="E11" s="16" t="n">
        <x:f>COUNTIFS('任务清单'!$B$6:$B$197,A11,'任务清单'!$H$6:$H$197,"后续")</x:f>
        <x:v>0</x:v>
      </x:c>
      <x:c r="F11" s="16" t="n">
        <x:f>COUNTIFS('任务清单'!$B$6:$B$197,A11,'任务清单'!$K$6:$K$197,"已验收")</x:f>
        <x:v>0</x:v>
      </x:c>
      <x:c r="G11" s="3"/>
      <x:c r="H11" s="3"/>
      <x:c r="I11" s="3"/>
      <x:c r="J11" s="3"/>
      <x:c r="K11" s="3"/>
    </x:row>
    <x:row r="12" ht="29" customHeight="1">
      <x:c r="A12" s="11" t="str">
        <x:v>队友与队伍</x:v>
      </x:c>
      <x:c r="B12" s="15" t="n">
        <x:f>COUNTIF('任务清单'!$B$6:$B$197,A12)</x:f>
        <x:v>8</x:v>
      </x:c>
      <x:c r="C12" s="15" t="n">
        <x:f>COUNTIFS('任务清单'!$B$6:$B$197,A12,'任务清单'!$H$6:$H$197,"必需")</x:f>
        <x:v>8</x:v>
      </x:c>
      <x:c r="D12" s="15" t="n">
        <x:f>COUNTIFS('任务清单'!$B$6:$B$197,A12,'任务清单'!$H$6:$H$197,"增强")</x:f>
        <x:v>0</x:v>
      </x:c>
      <x:c r="E12" s="15" t="n">
        <x:f>COUNTIFS('任务清单'!$B$6:$B$197,A12,'任务清单'!$H$6:$H$197,"后续")</x:f>
        <x:v>0</x:v>
      </x:c>
      <x:c r="F12" s="15" t="n">
        <x:f>COUNTIFS('任务清单'!$B$6:$B$197,A12,'任务清单'!$K$6:$K$197,"已验收")</x:f>
        <x:v>0</x:v>
      </x:c>
      <x:c r="G12" s="3"/>
      <x:c r="H12" s="3"/>
      <x:c r="I12" s="3"/>
      <x:c r="J12" s="3"/>
      <x:c r="K12" s="3"/>
    </x:row>
    <x:row r="13" ht="32" customHeight="1">
      <x:c r="A13" s="3" t="str">
        <x:v>成长与武学</x:v>
      </x:c>
      <x:c r="B13" s="16" t="n">
        <x:f>COUNTIF('任务清单'!$B$6:$B$197,A13)</x:f>
        <x:v>9</x:v>
      </x:c>
      <x:c r="C13" s="16" t="n">
        <x:f>COUNTIFS('任务清单'!$B$6:$B$197,A13,'任务清单'!$H$6:$H$197,"必需")</x:f>
        <x:v>9</x:v>
      </x:c>
      <x:c r="D13" s="16" t="n">
        <x:f>COUNTIFS('任务清单'!$B$6:$B$197,A13,'任务清单'!$H$6:$H$197,"增强")</x:f>
        <x:v>0</x:v>
      </x:c>
      <x:c r="E13" s="16" t="n">
        <x:f>COUNTIFS('任务清单'!$B$6:$B$197,A13,'任务清单'!$H$6:$H$197,"后续")</x:f>
        <x:v>0</x:v>
      </x:c>
      <x:c r="F13" s="16" t="n">
        <x:f>COUNTIFS('任务清单'!$B$6:$B$197,A13,'任务清单'!$K$6:$K$197,"已验收")</x:f>
        <x:v>0</x:v>
      </x:c>
      <x:c r="G13" s="3"/>
      <x:c r="H13" s="10" t="str">
        <x:v>跟踪指标</x:v>
      </x:c>
      <x:c r="I13" s="10" t="str">
        <x:v>当前值</x:v>
      </x:c>
      <x:c r="J13" s="10" t="str">
        <x:v>含义</x:v>
      </x:c>
      <x:c r="K13" s="10" t="str">
        <x:v>使用规则</x:v>
      </x:c>
    </x:row>
    <x:row r="14" ht="53" customHeight="1">
      <x:c r="A14" s="11" t="str">
        <x:v>战斗</x:v>
      </x:c>
      <x:c r="B14" s="15" t="n">
        <x:f>COUNTIF('任务清单'!$B$6:$B$197,A14)</x:f>
        <x:v>12</x:v>
      </x:c>
      <x:c r="C14" s="15" t="n">
        <x:f>COUNTIFS('任务清单'!$B$6:$B$197,A14,'任务清单'!$H$6:$H$197,"必需")</x:f>
        <x:v>12</x:v>
      </x:c>
      <x:c r="D14" s="15" t="n">
        <x:f>COUNTIFS('任务清单'!$B$6:$B$197,A14,'任务清单'!$H$6:$H$197,"增强")</x:f>
        <x:v>0</x:v>
      </x:c>
      <x:c r="E14" s="15" t="n">
        <x:f>COUNTIFS('任务清单'!$B$6:$B$197,A14,'任务清单'!$H$6:$H$197,"后续")</x:f>
        <x:v>0</x:v>
      </x:c>
      <x:c r="F14" s="15" t="n">
        <x:f>COUNTIFS('任务清单'!$B$6:$B$197,A14,'任务清单'!$K$6:$K$197,"已验收")</x:f>
        <x:v>0</x:v>
      </x:c>
      <x:c r="G14" s="3"/>
      <x:c r="H14" s="11" t="str">
        <x:v>全部工作包</x:v>
      </x:c>
      <x:c r="I14" s="15" t="n">
        <x:f>COUNTA('任务清单'!$A$6:$A$197)</x:f>
        <x:v>192</x:v>
      </x:c>
      <x:c r="J14" s="11" t="str">
        <x:v>包含首发及后续</x:v>
      </x:c>
      <x:c r="K14" s="11" t="str">
        <x:v>任务包大小不同，不能直接换算成本或工期。</x:v>
      </x:c>
    </x:row>
    <x:row r="15" ht="53" customHeight="1">
      <x:c r="A15" s="3" t="str">
        <x:v>任务与叙事</x:v>
      </x:c>
      <x:c r="B15" s="16" t="n">
        <x:f>COUNTIF('任务清单'!$B$6:$B$197,A15)</x:f>
        <x:v>10</x:v>
      </x:c>
      <x:c r="C15" s="16" t="n">
        <x:f>COUNTIFS('任务清单'!$B$6:$B$197,A15,'任务清单'!$H$6:$H$197,"必需")</x:f>
        <x:v>10</x:v>
      </x:c>
      <x:c r="D15" s="16" t="n">
        <x:f>COUNTIFS('任务清单'!$B$6:$B$197,A15,'任务清单'!$H$6:$H$197,"增强")</x:f>
        <x:v>0</x:v>
      </x:c>
      <x:c r="E15" s="16" t="n">
        <x:f>COUNTIFS('任务清单'!$B$6:$B$197,A15,'任务清单'!$H$6:$H$197,"后续")</x:f>
        <x:v>0</x:v>
      </x:c>
      <x:c r="F15" s="16" t="n">
        <x:f>COUNTIFS('任务清单'!$B$6:$B$197,A15,'任务清单'!$K$6:$K$197,"已验收")</x:f>
        <x:v>0</x:v>
      </x:c>
      <x:c r="G15" s="3"/>
      <x:c r="H15" s="3" t="str">
        <x:v>首发必需</x:v>
      </x:c>
      <x:c r="I15" s="16" t="n">
        <x:f>COUNTIF('任务清单'!$H$6:$H$197,"必需")</x:f>
        <x:v>185</x:v>
      </x:c>
      <x:c r="J15" s="3" t="str">
        <x:v>需要通过首发验收</x:v>
      </x:c>
      <x:c r="K15" s="3" t="str">
        <x:v>每个阶段先交付最小可用规则，再在S3统一回归。</x:v>
      </x:c>
    </x:row>
    <x:row r="16" ht="53" customHeight="1">
      <x:c r="A16" s="11" t="str">
        <x:v>奇遇与探索</x:v>
      </x:c>
      <x:c r="B16" s="15" t="n">
        <x:f>COUNTIF('任务清单'!$B$6:$B$197,A16)</x:f>
        <x:v>7</x:v>
      </x:c>
      <x:c r="C16" s="15" t="n">
        <x:f>COUNTIFS('任务清单'!$B$6:$B$197,A16,'任务清单'!$H$6:$H$197,"必需")</x:f>
        <x:v>7</x:v>
      </x:c>
      <x:c r="D16" s="15" t="n">
        <x:f>COUNTIFS('任务清单'!$B$6:$B$197,A16,'任务清单'!$H$6:$H$197,"增强")</x:f>
        <x:v>0</x:v>
      </x:c>
      <x:c r="E16" s="15" t="n">
        <x:f>COUNTIFS('任务清单'!$B$6:$B$197,A16,'任务清单'!$H$6:$H$197,"后续")</x:f>
        <x:v>0</x:v>
      </x:c>
      <x:c r="F16" s="15" t="n">
        <x:f>COUNTIFS('任务清单'!$B$6:$B$197,A16,'任务清单'!$K$6:$K$197,"已验收")</x:f>
        <x:v>0</x:v>
      </x:c>
      <x:c r="G16" s="3"/>
      <x:c r="H16" s="11" t="str">
        <x:v>首发增强</x:v>
      </x:c>
      <x:c r="I16" s="15" t="n">
        <x:f>COUNTIF('任务清单'!$H$6:$H$197,"增强")</x:f>
        <x:v>1</x:v>
      </x:c>
      <x:c r="J16" s="11" t="str">
        <x:v>资源允许时纳入</x:v>
      </x:c>
      <x:c r="K16" s="11" t="str">
        <x:v>增强项可以裁切，不应拖住核心可玩闭环。</x:v>
      </x:c>
    </x:row>
    <x:row r="17" ht="53" customHeight="1">
      <x:c r="A17" s="3" t="str">
        <x:v>经济与物品</x:v>
      </x:c>
      <x:c r="B17" s="16" t="n">
        <x:f>COUNTIF('任务清单'!$B$6:$B$197,A17)</x:f>
        <x:v>8</x:v>
      </x:c>
      <x:c r="C17" s="16" t="n">
        <x:f>COUNTIFS('任务清单'!$B$6:$B$197,A17,'任务清单'!$H$6:$H$197,"必需")</x:f>
        <x:v>8</x:v>
      </x:c>
      <x:c r="D17" s="16" t="n">
        <x:f>COUNTIFS('任务清单'!$B$6:$B$197,A17,'任务清单'!$H$6:$H$197,"增强")</x:f>
        <x:v>0</x:v>
      </x:c>
      <x:c r="E17" s="16" t="n">
        <x:f>COUNTIFS('任务清单'!$B$6:$B$197,A17,'任务清单'!$H$6:$H$197,"后续")</x:f>
        <x:v>0</x:v>
      </x:c>
      <x:c r="F17" s="16" t="n">
        <x:f>COUNTIFS('任务清单'!$B$6:$B$197,A17,'任务清单'!$K$6:$K$197,"已验收")</x:f>
        <x:v>0</x:v>
      </x:c>
      <x:c r="G17" s="3"/>
      <x:c r="H17" s="3" t="str">
        <x:v>后续候选</x:v>
      </x:c>
      <x:c r="I17" s="16" t="n">
        <x:f>COUNTIF('任务清单'!$H$6:$H$197,"后续")</x:f>
        <x:v>6</x:v>
      </x:c>
      <x:c r="J17" s="3" t="str">
        <x:v>单独论证与排期</x:v>
      </x:c>
      <x:c r="K17" s="3" t="str">
        <x:v>第二套战斗、动态战争等不计入首发承诺。</x:v>
      </x:c>
    </x:row>
    <x:row r="18" ht="53" customHeight="1">
      <x:c r="A18" s="11" t="str">
        <x:v>生活技艺</x:v>
      </x:c>
      <x:c r="B18" s="15" t="n">
        <x:f>COUNTIF('任务清单'!$B$6:$B$197,A18)</x:f>
        <x:v>7</x:v>
      </x:c>
      <x:c r="C18" s="15" t="n">
        <x:f>COUNTIFS('任务清单'!$B$6:$B$197,A18,'任务清单'!$H$6:$H$197,"必需")</x:f>
        <x:v>7</x:v>
      </x:c>
      <x:c r="D18" s="15" t="n">
        <x:f>COUNTIFS('任务清单'!$B$6:$B$197,A18,'任务清单'!$H$6:$H$197,"增强")</x:f>
        <x:v>0</x:v>
      </x:c>
      <x:c r="E18" s="15" t="n">
        <x:f>COUNTIFS('任务清单'!$B$6:$B$197,A18,'任务清单'!$H$6:$H$197,"后续")</x:f>
        <x:v>0</x:v>
      </x:c>
      <x:c r="F18" s="15" t="n">
        <x:f>COUNTIFS('任务清单'!$B$6:$B$197,A18,'任务清单'!$K$6:$K$197,"已验收")</x:f>
        <x:v>0</x:v>
      </x:c>
      <x:c r="G18" s="3"/>
      <x:c r="H18" s="11" t="str">
        <x:v>已验收工作包</x:v>
      </x:c>
      <x:c r="I18" s="15" t="n">
        <x:f>COUNTIF('任务清单'!$K$6:$K$197,"已验收")</x:f>
        <x:v>0</x:v>
      </x:c>
      <x:c r="J18" s="11" t="str">
        <x:v>本次转型工作的记录</x:v>
      </x:c>
      <x:c r="K18" s="11" t="str">
        <x:v>默认未开始；现有项目已实现的基础见迁移表。</x:v>
      </x:c>
    </x:row>
    <x:row r="19" ht="53" customHeight="1">
      <x:c r="A19" s="3" t="str">
        <x:v>身份与治安</x:v>
      </x:c>
      <x:c r="B19" s="16" t="n">
        <x:f>COUNTIF('任务清单'!$B$6:$B$197,A19)</x:f>
        <x:v>6</x:v>
      </x:c>
      <x:c r="C19" s="16" t="n">
        <x:f>COUNTIFS('任务清单'!$B$6:$B$197,A19,'任务清单'!$H$6:$H$197,"必需")</x:f>
        <x:v>5</x:v>
      </x:c>
      <x:c r="D19" s="16" t="n">
        <x:f>COUNTIFS('任务清单'!$B$6:$B$197,A19,'任务清单'!$H$6:$H$197,"增强")</x:f>
        <x:v>1</x:v>
      </x:c>
      <x:c r="E19" s="16" t="n">
        <x:f>COUNTIFS('任务清单'!$B$6:$B$197,A19,'任务清单'!$H$6:$H$197,"后续")</x:f>
        <x:v>0</x:v>
      </x:c>
      <x:c r="F19" s="16" t="n">
        <x:f>COUNTIFS('任务清单'!$B$6:$B$197,A19,'任务清单'!$K$6:$K$197,"已验收")</x:f>
        <x:v>0</x:v>
      </x:c>
      <x:c r="G19" s="3"/>
      <x:c r="H19" s="3" t="str">
        <x:v>已估算工作包</x:v>
      </x:c>
      <x:c r="I19" s="16" t="n">
        <x:f>COUNT('任务清单'!$M$6:$M$197)</x:f>
        <x:v>0</x:v>
      </x:c>
      <x:c r="J19" s="3" t="str">
        <x:v>已填写预估人日</x:v>
      </x:c>
      <x:c r="K19" s="3" t="str">
        <x:v>空白表示待估，不视为零成本；先测切片再填量产估算。</x:v>
      </x:c>
    </x:row>
    <x:row r="20" ht="53" customHeight="1">
      <x:c r="A20" s="11" t="str">
        <x:v>场景美术</x:v>
      </x:c>
      <x:c r="B20" s="15" t="n">
        <x:f>COUNTIF('任务清单'!$B$6:$B$197,A20)</x:f>
        <x:v>7</x:v>
      </x:c>
      <x:c r="C20" s="15" t="n">
        <x:f>COUNTIFS('任务清单'!$B$6:$B$197,A20,'任务清单'!$H$6:$H$197,"必需")</x:f>
        <x:v>7</x:v>
      </x:c>
      <x:c r="D20" s="15" t="n">
        <x:f>COUNTIFS('任务清单'!$B$6:$B$197,A20,'任务清单'!$H$6:$H$197,"增强")</x:f>
        <x:v>0</x:v>
      </x:c>
      <x:c r="E20" s="15" t="n">
        <x:f>COUNTIFS('任务清单'!$B$6:$B$197,A20,'任务清单'!$H$6:$H$197,"后续")</x:f>
        <x:v>0</x:v>
      </x:c>
      <x:c r="F20" s="15" t="n">
        <x:f>COUNTIFS('任务清单'!$B$6:$B$197,A20,'任务清单'!$K$6:$K$197,"已验收")</x:f>
        <x:v>0</x:v>
      </x:c>
      <x:c r="G20" s="3"/>
      <x:c r="H20" s="11" t="str">
        <x:v>已填预估人日合计</x:v>
      </x:c>
      <x:c r="I20" s="15" t="str">
        <x:f>IF(COUNT('任务清单'!$M$6:$M$197)=0,"待估",SUM('任务清单'!$M$6:$M$197))</x:f>
        <x:v>待估</x:v>
      </x:c>
      <x:c r="J20" s="11" t="str">
        <x:v>仅合计已经填入的值</x:v>
      </x:c>
      <x:c r="K20" s="11" t="str">
        <x:v>不含未填工作，也不自动等于项目工期。</x:v>
      </x:c>
    </x:row>
    <x:row r="21" ht="53" customHeight="1">
      <x:c r="A21" s="3" t="str">
        <x:v>角色与动画</x:v>
      </x:c>
      <x:c r="B21" s="16" t="n">
        <x:f>COUNTIF('任务清单'!$B$6:$B$197,A21)</x:f>
        <x:v>7</x:v>
      </x:c>
      <x:c r="C21" s="16" t="n">
        <x:f>COUNTIFS('任务清单'!$B$6:$B$197,A21,'任务清单'!$H$6:$H$197,"必需")</x:f>
        <x:v>7</x:v>
      </x:c>
      <x:c r="D21" s="16" t="n">
        <x:f>COUNTIFS('任务清单'!$B$6:$B$197,A21,'任务清单'!$H$6:$H$197,"增强")</x:f>
        <x:v>0</x:v>
      </x:c>
      <x:c r="E21" s="16" t="n">
        <x:f>COUNTIFS('任务清单'!$B$6:$B$197,A21,'任务清单'!$H$6:$H$197,"后续")</x:f>
        <x:v>0</x:v>
      </x:c>
      <x:c r="F21" s="16" t="n">
        <x:f>COUNTIFS('任务清单'!$B$6:$B$197,A21,'任务清单'!$K$6:$K$197,"已验收")</x:f>
        <x:v>0</x:v>
      </x:c>
      <x:c r="G21" s="3"/>
      <x:c r="H21" s="3" t="str">
        <x:v>已填实际人日合计</x:v>
      </x:c>
      <x:c r="I21" s="16" t="str">
        <x:f>IF(COUNT('任务清单'!$N$6:$N$197)=0,"待记录",SUM('任务清单'!$N$6:$N$197))</x:f>
        <x:v>待记录</x:v>
      </x:c>
      <x:c r="J21" s="3" t="str">
        <x:v>仅合计已经填入的值</x:v>
      </x:c>
      <x:c r="K21" s="3" t="str">
        <x:v>用已完工作校正后续单位成本与返工预留。</x:v>
      </x:c>
    </x:row>
    <x:row r="22" ht="29" customHeight="1">
      <x:c r="A22" s="11" t="str">
        <x:v>战斗特效</x:v>
      </x:c>
      <x:c r="B22" s="15" t="n">
        <x:f>COUNTIF('任务清单'!$B$6:$B$197,A22)</x:f>
        <x:v>6</x:v>
      </x:c>
      <x:c r="C22" s="15" t="n">
        <x:f>COUNTIFS('任务清单'!$B$6:$B$197,A22,'任务清单'!$H$6:$H$197,"必需")</x:f>
        <x:v>6</x:v>
      </x:c>
      <x:c r="D22" s="15" t="n">
        <x:f>COUNTIFS('任务清单'!$B$6:$B$197,A22,'任务清单'!$H$6:$H$197,"增强")</x:f>
        <x:v>0</x:v>
      </x:c>
      <x:c r="E22" s="15" t="n">
        <x:f>COUNTIFS('任务清单'!$B$6:$B$197,A22,'任务清单'!$H$6:$H$197,"后续")</x:f>
        <x:v>0</x:v>
      </x:c>
      <x:c r="F22" s="15" t="n">
        <x:f>COUNTIFS('任务清单'!$B$6:$B$197,A22,'任务清单'!$K$6:$K$197,"已验收")</x:f>
        <x:v>0</x:v>
      </x:c>
      <x:c r="G22" s="3"/>
      <x:c r="H22" s="3"/>
      <x:c r="I22" s="3"/>
      <x:c r="J22" s="3"/>
      <x:c r="K22" s="3"/>
    </x:row>
    <x:row r="23" ht="29" customHeight="1">
      <x:c r="A23" s="3" t="str">
        <x:v>界面与操作</x:v>
      </x:c>
      <x:c r="B23" s="16" t="n">
        <x:f>COUNTIF('任务清单'!$B$6:$B$197,A23)</x:f>
        <x:v>8</x:v>
      </x:c>
      <x:c r="C23" s="16" t="n">
        <x:f>COUNTIFS('任务清单'!$B$6:$B$197,A23,'任务清单'!$H$6:$H$197,"必需")</x:f>
        <x:v>8</x:v>
      </x:c>
      <x:c r="D23" s="16" t="n">
        <x:f>COUNTIFS('任务清单'!$B$6:$B$197,A23,'任务清单'!$H$6:$H$197,"增强")</x:f>
        <x:v>0</x:v>
      </x:c>
      <x:c r="E23" s="16" t="n">
        <x:f>COUNTIFS('任务清单'!$B$6:$B$197,A23,'任务清单'!$H$6:$H$197,"后续")</x:f>
        <x:v>0</x:v>
      </x:c>
      <x:c r="F23" s="16" t="n">
        <x:f>COUNTIFS('任务清单'!$B$6:$B$197,A23,'任务清单'!$K$6:$K$197,"已验收")</x:f>
        <x:v>0</x:v>
      </x:c>
      <x:c r="G23" s="3"/>
      <x:c r="H23" s="3"/>
      <x:c r="I23" s="3"/>
      <x:c r="J23" s="3"/>
      <x:c r="K23" s="3"/>
    </x:row>
    <x:row r="24" ht="58" customHeight="1">
      <x:c r="A24" s="11" t="str">
        <x:v>声音与演出</x:v>
      </x:c>
      <x:c r="B24" s="15" t="n">
        <x:f>COUNTIF('任务清单'!$B$6:$B$197,A24)</x:f>
        <x:v>6</x:v>
      </x:c>
      <x:c r="C24" s="15" t="n">
        <x:f>COUNTIFS('任务清单'!$B$6:$B$197,A24,'任务清单'!$H$6:$H$197,"必需")</x:f>
        <x:v>6</x:v>
      </x:c>
      <x:c r="D24" s="15" t="n">
        <x:f>COUNTIFS('任务清单'!$B$6:$B$197,A24,'任务清单'!$H$6:$H$197,"增强")</x:f>
        <x:v>0</x:v>
      </x:c>
      <x:c r="E24" s="15" t="n">
        <x:f>COUNTIFS('任务清单'!$B$6:$B$197,A24,'任务清单'!$H$6:$H$197,"后续")</x:f>
        <x:v>0</x:v>
      </x:c>
      <x:c r="F24" s="15" t="n">
        <x:f>COUNTIFS('任务清单'!$B$6:$B$197,A24,'任务清单'!$K$6:$K$197,"已验收")</x:f>
        <x:v>0</x:v>
      </x:c>
      <x:c r="G24" s="3"/>
      <x:c r="H24" s="3" t="str">
        <x:v>建议产品形态</x:v>
      </x:c>
      <x:c r="I24" s="3" t="str"/>
      <x:c r="J24" s="3" t="str"/>
      <x:c r="K24" s="3" t="str">
        <x:v>区域开放江湖＋门派＋四人队伍＋有限世界演化</x:v>
      </x:c>
    </x:row>
    <x:row r="25" ht="58" customHeight="1">
      <x:c r="A25" s="3" t="str">
        <x:v>数据与架构</x:v>
      </x:c>
      <x:c r="B25" s="16" t="n">
        <x:f>COUNTIF('任务清单'!$B$6:$B$197,A25)</x:f>
        <x:v>9</x:v>
      </x:c>
      <x:c r="C25" s="16" t="n">
        <x:f>COUNTIFS('任务清单'!$B$6:$B$197,A25,'任务清单'!$H$6:$H$197,"必需")</x:f>
        <x:v>9</x:v>
      </x:c>
      <x:c r="D25" s="16" t="n">
        <x:f>COUNTIFS('任务清单'!$B$6:$B$197,A25,'任务清单'!$H$6:$H$197,"增强")</x:f>
        <x:v>0</x:v>
      </x:c>
      <x:c r="E25" s="16" t="n">
        <x:f>COUNTIFS('任务清单'!$B$6:$B$197,A25,'任务清单'!$H$6:$H$197,"后续")</x:f>
        <x:v>0</x:v>
      </x:c>
      <x:c r="F25" s="16" t="n">
        <x:f>COUNTIFS('任务清单'!$B$6:$B$197,A25,'任务清单'!$K$6:$K$197,"已验收")</x:f>
        <x:v>0</x:v>
      </x:c>
      <x:c r="G25" s="3"/>
      <x:c r="H25" s="3" t="str">
        <x:v>平台假设</x:v>
      </x:c>
      <x:c r="I25" s="3" t="str"/>
      <x:c r="J25" s="3" t="str"/>
      <x:c r="K25" s="3" t="str">
        <x:v>优先PC单机；平台与引擎需要在S0定标</x:v>
      </x:c>
    </x:row>
    <x:row r="26" ht="58" customHeight="1">
      <x:c r="A26" s="11" t="str">
        <x:v>内容制作工具</x:v>
      </x:c>
      <x:c r="B26" s="15" t="n">
        <x:f>COUNTIF('任务清单'!$B$6:$B$197,A26)</x:f>
        <x:v>8</x:v>
      </x:c>
      <x:c r="C26" s="15" t="n">
        <x:f>COUNTIFS('任务清单'!$B$6:$B$197,A26,'任务清单'!$H$6:$H$197,"必需")</x:f>
        <x:v>8</x:v>
      </x:c>
      <x:c r="D26" s="15" t="n">
        <x:f>COUNTIFS('任务清单'!$B$6:$B$197,A26,'任务清单'!$H$6:$H$197,"增强")</x:f>
        <x:v>0</x:v>
      </x:c>
      <x:c r="E26" s="15" t="n">
        <x:f>COUNTIFS('任务清单'!$B$6:$B$197,A26,'任务清单'!$H$6:$H$197,"后续")</x:f>
        <x:v>0</x:v>
      </x:c>
      <x:c r="F26" s="15" t="n">
        <x:f>COUNTIFS('任务清单'!$B$6:$B$197,A26,'任务清单'!$K$6:$K$197,"已验收")</x:f>
        <x:v>0</x:v>
      </x:c>
      <x:c r="G26" s="3"/>
      <x:c r="H26" s="3" t="str">
        <x:v>玩家循环</x:v>
      </x:c>
      <x:c r="I26" s="3" t="str"/>
      <x:c r="J26" s="3" t="str"/>
      <x:c r="K26" s="3" t="str">
        <x:v>获得线索→自主行事→成长与结交→改变江湖→回访</x:v>
      </x:c>
    </x:row>
    <x:row r="27" ht="58" customHeight="1">
      <x:c r="A27" s="3" t="str">
        <x:v>QA与平衡</x:v>
      </x:c>
      <x:c r="B27" s="16" t="n">
        <x:f>COUNTIF('任务清单'!$B$6:$B$197,A27)</x:f>
        <x:v>10</x:v>
      </x:c>
      <x:c r="C27" s="16" t="n">
        <x:f>COUNTIFS('任务清单'!$B$6:$B$197,A27,'任务清单'!$H$6:$H$197,"必需")</x:f>
        <x:v>10</x:v>
      </x:c>
      <x:c r="D27" s="16" t="n">
        <x:f>COUNTIFS('任务清单'!$B$6:$B$197,A27,'任务清单'!$H$6:$H$197,"增强")</x:f>
        <x:v>0</x:v>
      </x:c>
      <x:c r="E27" s="16" t="n">
        <x:f>COUNTIFS('任务清单'!$B$6:$B$197,A27,'任务清单'!$H$6:$H$197,"后续")</x:f>
        <x:v>0</x:v>
      </x:c>
      <x:c r="F27" s="16" t="n">
        <x:f>COUNTIFS('任务清单'!$B$6:$B$197,A27,'任务清单'!$K$6:$K$197,"已验收")</x:f>
        <x:v>0</x:v>
      </x:c>
      <x:c r="G27" s="3"/>
      <x:c r="H27" s="3" t="str">
        <x:v>画面质量目标</x:v>
      </x:c>
      <x:c r="I27" s="3" t="str"/>
      <x:c r="J27" s="3" t="str"/>
      <x:c r="K27" s="3" t="str">
        <x:v>场景层次、角色动画、技能反馈、UI与声音一起达到标杆</x:v>
      </x:c>
    </x:row>
    <x:row r="28" ht="58" customHeight="1">
      <x:c r="A28" s="11" t="str">
        <x:v>发行与运维</x:v>
      </x:c>
      <x:c r="B28" s="15" t="n">
        <x:f>COUNTIF('任务清单'!$B$6:$B$197,A28)</x:f>
        <x:v>8</x:v>
      </x:c>
      <x:c r="C28" s="15" t="n">
        <x:f>COUNTIFS('任务清单'!$B$6:$B$197,A28,'任务清单'!$H$6:$H$197,"必需")</x:f>
        <x:v>8</x:v>
      </x:c>
      <x:c r="D28" s="15" t="n">
        <x:f>COUNTIFS('任务清单'!$B$6:$B$197,A28,'任务清单'!$H$6:$H$197,"增强")</x:f>
        <x:v>0</x:v>
      </x:c>
      <x:c r="E28" s="15" t="n">
        <x:f>COUNTIFS('任务清单'!$B$6:$B$197,A28,'任务清单'!$H$6:$H$197,"后续")</x:f>
        <x:v>0</x:v>
      </x:c>
      <x:c r="F28" s="15" t="n">
        <x:f>COUNTIFS('任务清单'!$B$6:$B$197,A28,'任务清单'!$K$6:$K$197,"已验收")</x:f>
        <x:v>0</x:v>
      </x:c>
      <x:c r="G28" s="3"/>
      <x:c r="H28" s="3" t="str">
        <x:v>优先实现的差异</x:v>
      </x:c>
      <x:c r="I28" s="3" t="str"/>
      <x:c r="J28" s="3" t="str"/>
      <x:c r="K28" s="3" t="str">
        <x:v>武学改变战斗和探索；不同解法改变关系与后续事件</x:v>
      </x:c>
    </x:row>
    <x:row r="29" ht="58" customHeight="1">
      <x:c r="A29" s="3" t="str">
        <x:v>后续扩展候选</x:v>
      </x:c>
      <x:c r="B29" s="16" t="n">
        <x:f>COUNTIF('任务清单'!$B$6:$B$197,A29)</x:f>
        <x:v>6</x:v>
      </x:c>
      <x:c r="C29" s="16" t="n">
        <x:f>COUNTIFS('任务清单'!$B$6:$B$197,A29,'任务清单'!$H$6:$H$197,"必需")</x:f>
        <x:v>0</x:v>
      </x:c>
      <x:c r="D29" s="16" t="n">
        <x:f>COUNTIFS('任务清单'!$B$6:$B$197,A29,'任务清单'!$H$6:$H$197,"增强")</x:f>
        <x:v>0</x:v>
      </x:c>
      <x:c r="E29" s="16" t="n">
        <x:f>COUNTIFS('任务清单'!$B$6:$B$197,A29,'任务清单'!$H$6:$H$197,"后续")</x:f>
        <x:v>6</x:v>
      </x:c>
      <x:c r="F29" s="16" t="n">
        <x:f>COUNTIFS('任务清单'!$B$6:$B$197,A29,'任务清单'!$K$6:$K$197,"已验收")</x:f>
        <x:v>0</x:v>
      </x:c>
      <x:c r="G29" s="3"/>
      <x:c r="H29" s="3" t="str">
        <x:v>工期与预算</x:v>
      </x:c>
      <x:c r="I29" s="3" t="str"/>
      <x:c r="J29" s="3" t="str"/>
      <x:c r="K29" s="3" t="str">
        <x:v>基于切片实际成本和明确人员重估，不套用旧章节式计划</x:v>
      </x:c>
    </x:row>
    <x:row r="30" ht="32" customHeight="1">
      <x:c r="A30" s="22" t="str">
        <x:v>合计</x:v>
      </x:c>
      <x:c r="B30" s="27" t="n">
        <x:f>SUM(B6:B29)</x:f>
        <x:v>192</x:v>
      </x:c>
      <x:c r="C30" s="27" t="n">
        <x:f>SUM(C6:C29)</x:f>
        <x:v>185</x:v>
      </x:c>
      <x:c r="D30" s="27" t="n">
        <x:f>SUM(D6:D29)</x:f>
        <x:v>1</x:v>
      </x:c>
      <x:c r="E30" s="27" t="n">
        <x:f>SUM(E6:E29)</x:f>
        <x:v>6</x:v>
      </x:c>
      <x:c r="F30" s="27" t="n">
        <x:f>SUM(F6:F29)</x:f>
        <x:v>0</x:v>
      </x:c>
      <x:c r="G30" s="3"/>
      <x:c r="H30" s="3"/>
      <x:c r="I30" s="3"/>
      <x:c r="J30" s="3"/>
      <x:c r="K30" s="3"/>
    </x:row>
    <x:row r="31" ht="6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6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32" customHeight="1">
      <x:c r="A33" s="10" t="str">
        <x:v>使用顺序</x:v>
      </x:c>
      <x:c r="B33" s="10" t="str">
        <x:v>入口</x:v>
      </x:c>
      <x:c r="C33" s="10" t="str">
        <x:v>操作</x:v>
      </x:c>
      <x:c r="D33" s="10" t="str">
        <x:v>输出</x:v>
      </x:c>
      <x:c r="E33" s="10" t="str">
        <x:v>判断</x:v>
      </x:c>
      <x:c r="F33" s="10" t="str">
        <x:v>说明</x:v>
      </x:c>
      <x:c r="G33" s="3"/>
      <x:c r="H33" s="3"/>
      <x:c r="I33" s="3"/>
      <x:c r="J33" s="3"/>
      <x:c r="K33" s="3"/>
    </x:row>
    <x:row r="34" ht="51" customHeight="1">
      <x:c r="A34" s="3" t="str">
        <x:v>1 定边界</x:v>
      </x:c>
      <x:c r="B34" s="3" t="str">
        <x:v>对标取舍</x:v>
      </x:c>
      <x:c r="C34" s="3" t="str">
        <x:v>讨论关键取舍</x:v>
      </x:c>
      <x:c r="D34" s="3" t="str">
        <x:v>确认基线</x:v>
      </x:c>
      <x:c r="E34" s="3" t="str">
        <x:v>S0阶段门</x:v>
      </x:c>
      <x:c r="F34" s="3" t="str">
        <x:v>数值可改</x:v>
      </x:c>
      <x:c r="G34" s="3"/>
      <x:c r="H34" s="3"/>
      <x:c r="I34" s="3"/>
      <x:c r="J34" s="3"/>
      <x:c r="K34" s="3"/>
    </x:row>
    <x:row r="35" ht="51" customHeight="1">
      <x:c r="A35" s="3" t="str">
        <x:v>2 定规模</x:v>
      </x:c>
      <x:c r="B35" s="3" t="str">
        <x:v>内容规模</x:v>
      </x:c>
      <x:c r="C35" s="3" t="str">
        <x:v>修改黄色输入</x:v>
      </x:c>
      <x:c r="D35" s="3" t="str">
        <x:v>首发清单</x:v>
      </x:c>
      <x:c r="E35" s="3" t="str">
        <x:v>切片验证</x:v>
      </x:c>
      <x:c r="F35" s="3" t="str">
        <x:v>合计自动算</x:v>
      </x:c>
      <x:c r="G35" s="3"/>
      <x:c r="H35" s="3"/>
      <x:c r="I35" s="3"/>
      <x:c r="J35" s="3"/>
      <x:c r="K35" s="3"/>
    </x:row>
    <x:row r="36" ht="51" customHeight="1">
      <x:c r="A36" s="3" t="str">
        <x:v>3 分责任</x:v>
      </x:c>
      <x:c r="B36" s="3" t="str">
        <x:v>任务清单</x:v>
      </x:c>
      <x:c r="C36" s="3" t="str">
        <x:v>填负责人和人日</x:v>
      </x:c>
      <x:c r="D36" s="3" t="str">
        <x:v>分工与估工</x:v>
      </x:c>
      <x:c r="E36" s="3" t="str">
        <x:v>依赖编号</x:v>
      </x:c>
      <x:c r="F36" s="3" t="str">
        <x:v>可筛选</x:v>
      </x:c>
      <x:c r="G36" s="3"/>
      <x:c r="H36" s="3"/>
      <x:c r="I36" s="3"/>
      <x:c r="J36" s="3"/>
      <x:c r="K36" s="3"/>
    </x:row>
    <x:row r="37" ht="51" customHeight="1">
      <x:c r="A37" s="3" t="str">
        <x:v>4 验收</x:v>
      </x:c>
      <x:c r="B37" s="3" t="str">
        <x:v>阶段验收</x:v>
      </x:c>
      <x:c r="C37" s="3" t="str">
        <x:v>实玩并留证据</x:v>
      </x:c>
      <x:c r="D37" s="3" t="str">
        <x:v>更新任务状态</x:v>
      </x:c>
      <x:c r="E37" s="3" t="str">
        <x:v>组合测试</x:v>
      </x:c>
      <x:c r="F37" s="3" t="str">
        <x:v>不是勾功能</x:v>
      </x:c>
      <x:c r="G37" s="3"/>
      <x:c r="H37" s="3"/>
      <x:c r="I37" s="3"/>
      <x:c r="J37" s="3"/>
      <x:c r="K37" s="3"/>
    </x:row>
    <x:row r="38" ht="51" customHeight="1">
      <x:c r="A38" s="3" t="str">
        <x:v>5 扩展</x:v>
      </x:c>
      <x:c r="B38" s="3" t="str">
        <x:v>后续候选</x:v>
      </x:c>
      <x:c r="C38" s="3" t="str">
        <x:v>独立评估成本</x:v>
      </x:c>
      <x:c r="D38" s="3" t="str">
        <x:v>版本提案</x:v>
      </x:c>
      <x:c r="E38" s="3" t="str">
        <x:v>用户价值</x:v>
      </x:c>
      <x:c r="F38" s="3" t="str">
        <x:v>不挤占首发</x:v>
      </x:c>
      <x:c r="G38" s="3"/>
      <x:c r="H38" s="3"/>
      <x:c r="I38" s="3"/>
      <x:c r="J38" s="3"/>
      <x:c r="K38" s="3"/>
    </x:row>
    <x:row r="39" ht="66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66" customHeight="1">
      <x:c r="A40" s="31" t="str">
        <x:v>工作包完成标准：规则＋数据＋表现＋交互提示＋存档＋异常处理＋验收证据。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66" customHeight="1">
      <x:c r="A41" s="30" t="str">
        <x:v>参考与审计依据见对应页；本次未改动仓库，也未声称已通过游戏实测。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6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6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6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24" hidden="0" customWidth="1"/>
    <x:col min="4" max="4" width="44" hidden="0" customWidth="1"/>
    <x:col min="5" max="5" width="46" hidden="0" customWidth="1"/>
    <x:col min="6" max="6" width="21" hidden="0" customWidth="1"/>
    <x:col min="7" max="7" width="9" hidden="0" customWidth="1"/>
    <x:col min="8" max="8" width="10" hidden="0" customWidth="1"/>
    <x:col min="9" max="9" width="19" hidden="0" customWidth="1"/>
    <x:col min="10" max="10" width="12" hidden="0" customWidth="1"/>
    <x:col min="11" max="11" width="13" hidden="0" customWidth="1"/>
    <x:col min="12" max="12" width="14" hidden="0" customWidth="1"/>
    <x:col min="13" max="13" width="12" hidden="0" customWidth="1"/>
    <x:col min="14" max="14" width="12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武道｜武侠沙盒转型任务清单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7" t="str">
        <x:v>阶段表示首个可用交付；量产和全流程质量验收仍须在S3完成。黄色列可填写。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2" customHeight="1">
      <x:c r="A5" s="10" t="str">
        <x:v>编号</x:v>
      </x:c>
      <x:c r="B5" s="10" t="str">
        <x:v>模块</x:v>
      </x:c>
      <x:c r="C5" s="10" t="str">
        <x:v>工作包</x:v>
      </x:c>
      <x:c r="D5" s="10" t="str">
        <x:v>实际交付</x:v>
      </x:c>
      <x:c r="E5" s="10" t="str">
        <x:v>验收条件</x:v>
      </x:c>
      <x:c r="F5" s="10" t="str">
        <x:v>前置编号</x:v>
      </x:c>
      <x:c r="G5" s="10" t="str">
        <x:v>阶段</x:v>
      </x:c>
      <x:c r="H5" s="10" t="str">
        <x:v>优先级</x:v>
      </x:c>
      <x:c r="I5" s="10" t="str">
        <x:v>建议主责</x:v>
      </x:c>
      <x:c r="J5" s="10" t="str">
        <x:v>处理方式</x:v>
      </x:c>
      <x:c r="K5" s="10" t="str">
        <x:v>状态</x:v>
      </x:c>
      <x:c r="L5" s="10" t="str">
        <x:v>负责人</x:v>
      </x:c>
      <x:c r="M5" s="10" t="str">
        <x:v>预估人日</x:v>
      </x:c>
      <x:c r="N5" s="10" t="str">
        <x:v>实际人日</x:v>
      </x:c>
    </x:row>
    <x:row r="6" ht="76" customHeight="1">
      <x:c r="A6" s="12" t="str">
        <x:v>A01</x:v>
      </x:c>
      <x:c r="B6" s="11" t="str">
        <x:v>产品与规则边界</x:v>
      </x:c>
      <x:c r="C6" s="11" t="str">
        <x:v>产品定位与体验支柱</x:v>
      </x:c>
      <x:c r="D6" s="11" t="str">
        <x:v>定位文档、目标玩家、体验支柱及排除项</x:v>
      </x:c>
      <x:c r="E6" s="11" t="str">
        <x:v>能用一段话说明江湖自由度、战斗与叙事的关系</x:v>
      </x:c>
      <x:c r="F6" s="14" t="str"/>
      <x:c r="G6" s="15" t="str">
        <x:v>S0</x:v>
      </x:c>
      <x:c r="H6" s="15" t="str">
        <x:v>必需</x:v>
      </x:c>
      <x:c r="I6" s="11" t="str">
        <x:v>制作人／主策</x:v>
      </x:c>
      <x:c r="J6" s="11" t="str">
        <x:v>新增</x:v>
      </x:c>
      <x:c r="K6" s="17" t="str">
        <x:v>未开始</x:v>
      </x:c>
      <x:c r="L6" s="17" t="str"/>
      <x:c r="M6" s="18"/>
      <x:c r="N6" s="18"/>
    </x:row>
    <x:row r="7" ht="76" customHeight="1">
      <x:c r="A7" s="13" t="str">
        <x:v>A02</x:v>
      </x:c>
      <x:c r="B7" s="3" t="str">
        <x:v>产品与规则边界</x:v>
      </x:c>
      <x:c r="C7" s="3" t="str">
        <x:v>首发平台与商业边界</x:v>
      </x:c>
      <x:c r="D7" s="3" t="str">
        <x:v>PC单机基线、目标设备、发行方式与版本边界</x:v>
      </x:c>
      <x:c r="E7" s="3" t="str">
        <x:v>联网、付费、跨平台需求有明确取舍，不进入隐性范围</x:v>
      </x:c>
      <x:c r="F7" s="6" t="str">
        <x:v>A01</x:v>
      </x:c>
      <x:c r="G7" s="16" t="str">
        <x:v>S0</x:v>
      </x:c>
      <x:c r="H7" s="16" t="str">
        <x:v>必需</x:v>
      </x:c>
      <x:c r="I7" s="3" t="str">
        <x:v>制作人／主策</x:v>
      </x:c>
      <x:c r="J7" s="3" t="str">
        <x:v>新增</x:v>
      </x:c>
      <x:c r="K7" s="17" t="str">
        <x:v>未开始</x:v>
      </x:c>
      <x:c r="L7" s="17" t="str"/>
      <x:c r="M7" s="18"/>
      <x:c r="N7" s="18"/>
    </x:row>
    <x:row r="8" ht="76" customHeight="1">
      <x:c r="A8" s="12" t="str">
        <x:v>A03</x:v>
      </x:c>
      <x:c r="B8" s="11" t="str">
        <x:v>产品与规则边界</x:v>
      </x:c>
      <x:c r="C8" s="11" t="str">
        <x:v>世界自由度规则</x:v>
      </x:c>
      <x:c r="D8" s="11" t="str">
        <x:v>可攻击对象、死亡保护、犯罪、入门退门与任务中断规则</x:v>
      </x:c>
      <x:c r="E8" s="11" t="str">
        <x:v>每项自由行为写出限制和可见反馈</x:v>
      </x:c>
      <x:c r="F8" s="14" t="str">
        <x:v>A01</x:v>
      </x:c>
      <x:c r="G8" s="15" t="str">
        <x:v>S0</x:v>
      </x:c>
      <x:c r="H8" s="15" t="str">
        <x:v>必需</x:v>
      </x:c>
      <x:c r="I8" s="11" t="str">
        <x:v>制作人／主策</x:v>
      </x:c>
      <x:c r="J8" s="11" t="str">
        <x:v>新增</x:v>
      </x:c>
      <x:c r="K8" s="17" t="str">
        <x:v>未开始</x:v>
      </x:c>
      <x:c r="L8" s="17" t="str"/>
      <x:c r="M8" s="18"/>
      <x:c r="N8" s="18"/>
    </x:row>
    <x:row r="9" ht="76" customHeight="1">
      <x:c r="A9" s="13" t="str">
        <x:v>A04</x:v>
      </x:c>
      <x:c r="B9" s="3" t="str">
        <x:v>产品与规则边界</x:v>
      </x:c>
      <x:c r="C9" s="3" t="str">
        <x:v>战斗与队伍定标</x:v>
      </x:c>
      <x:c r="D9" s="3" t="str">
        <x:v>一种主战斗制式、四人上限、战场尺度、操作草案</x:v>
      </x:c>
      <x:c r="E9" s="3" t="str">
        <x:v>用灰盒比较后签定规则，停止并行维护两套正式战斗</x:v>
      </x:c>
      <x:c r="F9" s="6" t="str">
        <x:v>A01</x:v>
      </x:c>
      <x:c r="G9" s="16" t="str">
        <x:v>S0</x:v>
      </x:c>
      <x:c r="H9" s="16" t="str">
        <x:v>必需</x:v>
      </x:c>
      <x:c r="I9" s="3" t="str">
        <x:v>制作人／主策</x:v>
      </x:c>
      <x:c r="J9" s="3" t="str">
        <x:v>新增</x:v>
      </x:c>
      <x:c r="K9" s="17" t="str">
        <x:v>未开始</x:v>
      </x:c>
      <x:c r="L9" s="17" t="str"/>
      <x:c r="M9" s="18"/>
      <x:c r="N9" s="18"/>
    </x:row>
    <x:row r="10" ht="76" customHeight="1">
      <x:c r="A10" s="12" t="str">
        <x:v>A05</x:v>
      </x:c>
      <x:c r="B10" s="11" t="str">
        <x:v>产品与规则边界</x:v>
      </x:c>
      <x:c r="C10" s="11" t="str">
        <x:v>视觉定标与资产样板</x:v>
      </x:c>
      <x:c r="D10" s="11" t="str">
        <x:v>视角、角色比例、材质语言、色板、昼夜与战斗样片</x:v>
      </x:c>
      <x:c r="E10" s="11" t="str">
        <x:v>同一场景通过静帧、移动与战斗三个状态评审</x:v>
      </x:c>
      <x:c r="F10" s="14" t="str">
        <x:v>A01</x:v>
      </x:c>
      <x:c r="G10" s="15" t="str">
        <x:v>S0</x:v>
      </x:c>
      <x:c r="H10" s="15" t="str">
        <x:v>必需</x:v>
      </x:c>
      <x:c r="I10" s="11" t="str">
        <x:v>制作人／主策</x:v>
      </x:c>
      <x:c r="J10" s="11" t="str">
        <x:v>新增</x:v>
      </x:c>
      <x:c r="K10" s="17" t="str">
        <x:v>未开始</x:v>
      </x:c>
      <x:c r="L10" s="17" t="str"/>
      <x:c r="M10" s="18"/>
      <x:c r="N10" s="18"/>
    </x:row>
    <x:row r="11" ht="76" customHeight="1">
      <x:c r="A11" s="13" t="str">
        <x:v>A06</x:v>
      </x:c>
      <x:c r="B11" s="3" t="str">
        <x:v>产品与规则边界</x:v>
      </x:c>
      <x:c r="C11" s="3" t="str">
        <x:v>内容口径与首发清单</x:v>
      </x:c>
      <x:c r="D11" s="3" t="str">
        <x:v>地图、任务包、NPC、武学、动画的计数口径及预算基线</x:v>
      </x:c>
      <x:c r="E11" s="3" t="str">
        <x:v>内容表无重复计数，切片与首发范围可区分</x:v>
      </x:c>
      <x:c r="F11" s="6" t="str">
        <x:v>A03,A04,A05</x:v>
      </x:c>
      <x:c r="G11" s="16" t="str">
        <x:v>S0</x:v>
      </x:c>
      <x:c r="H11" s="16" t="str">
        <x:v>必需</x:v>
      </x:c>
      <x:c r="I11" s="3" t="str">
        <x:v>制作人／主策</x:v>
      </x:c>
      <x:c r="J11" s="3" t="str">
        <x:v>新增</x:v>
      </x:c>
      <x:c r="K11" s="17" t="str">
        <x:v>未开始</x:v>
      </x:c>
      <x:c r="L11" s="17" t="str"/>
      <x:c r="M11" s="18"/>
      <x:c r="N11" s="18"/>
    </x:row>
    <x:row r="12" ht="76" customHeight="1">
      <x:c r="A12" s="12" t="str">
        <x:v>A07</x:v>
      </x:c>
      <x:c r="B12" s="11" t="str">
        <x:v>产品与规则边界</x:v>
      </x:c>
      <x:c r="C12" s="11" t="str">
        <x:v>引擎与迁移决策</x:v>
      </x:c>
      <x:c r="D12" s="11" t="str">
        <x:v>目标设备实测、内容编辑效率、团队能力和迁移成本对照</x:v>
      </x:c>
      <x:c r="E12" s="11" t="str">
        <x:v>选择一种生产路线；重用规则与重写代码的边界落表</x:v>
      </x:c>
      <x:c r="F12" s="14" t="str">
        <x:v>A02,A04,A05</x:v>
      </x:c>
      <x:c r="G12" s="15" t="str">
        <x:v>S0</x:v>
      </x:c>
      <x:c r="H12" s="15" t="str">
        <x:v>必需</x:v>
      </x:c>
      <x:c r="I12" s="11" t="str">
        <x:v>制作人／主策</x:v>
      </x:c>
      <x:c r="J12" s="11" t="str">
        <x:v>新增</x:v>
      </x:c>
      <x:c r="K12" s="17" t="str">
        <x:v>未开始</x:v>
      </x:c>
      <x:c r="L12" s="17" t="str"/>
      <x:c r="M12" s="18"/>
      <x:c r="N12" s="18"/>
    </x:row>
    <x:row r="13" ht="76" customHeight="1">
      <x:c r="A13" s="13" t="str">
        <x:v>A08</x:v>
      </x:c>
      <x:c r="B13" s="3" t="str">
        <x:v>产品与规则边界</x:v>
      </x:c>
      <x:c r="C13" s="3" t="str">
        <x:v>制作组织与变更管理</x:v>
      </x:c>
      <x:c r="D13" s="3" t="str">
        <x:v>负责人矩阵、风险台账、阶段门、变更与验收流程</x:v>
      </x:c>
      <x:c r="E13" s="3" t="str">
        <x:v>每项新增需求写明替换范围、成本及验收人</x:v>
      </x:c>
      <x:c r="F13" s="6" t="str">
        <x:v>A06,A07</x:v>
      </x:c>
      <x:c r="G13" s="16" t="str">
        <x:v>S0</x:v>
      </x:c>
      <x:c r="H13" s="16" t="str">
        <x:v>必需</x:v>
      </x:c>
      <x:c r="I13" s="3" t="str">
        <x:v>制作人／主策</x:v>
      </x:c>
      <x:c r="J13" s="3" t="str">
        <x:v>新增</x:v>
      </x:c>
      <x:c r="K13" s="17" t="str">
        <x:v>未开始</x:v>
      </x:c>
      <x:c r="L13" s="17" t="str"/>
      <x:c r="M13" s="18"/>
      <x:c r="N13" s="18"/>
    </x:row>
    <x:row r="14" ht="76" customHeight="1">
      <x:c r="A14" s="12" t="str">
        <x:v>B01</x:v>
      </x:c>
      <x:c r="B14" s="11" t="str">
        <x:v>世界与地图</x:v>
      </x:c>
      <x:c r="C14" s="11" t="str">
        <x:v>世界地理与交通网络</x:v>
      </x:c>
      <x:c r="D14" s="11" t="str">
        <x:v>区域、城镇、野外、据点、道路和势力分布图</x:v>
      </x:c>
      <x:c r="E14" s="11" t="str">
        <x:v>每区域有独特玩法、交通成本、入口和回访理由</x:v>
      </x:c>
      <x:c r="F14" s="14" t="str">
        <x:v>A03,A06</x:v>
      </x:c>
      <x:c r="G14" s="15" t="str">
        <x:v>S0</x:v>
      </x:c>
      <x:c r="H14" s="15" t="str">
        <x:v>必需</x:v>
      </x:c>
      <x:c r="I14" s="11" t="str">
        <x:v>关卡策划／场景程序</x:v>
      </x:c>
      <x:c r="J14" s="11" t="str">
        <x:v>新增</x:v>
      </x:c>
      <x:c r="K14" s="17" t="str">
        <x:v>未开始</x:v>
      </x:c>
      <x:c r="L14" s="17" t="str"/>
      <x:c r="M14" s="18"/>
      <x:c r="N14" s="18"/>
    </x:row>
    <x:row r="15" ht="76" customHeight="1">
      <x:c r="A15" s="13" t="str">
        <x:v>B02</x:v>
      </x:c>
      <x:c r="B15" s="3" t="str">
        <x:v>世界与地图</x:v>
      </x:c>
      <x:c r="C15" s="3" t="str">
        <x:v>统一场景描述格式</x:v>
      </x:c>
      <x:c r="D15" s="3" t="str">
        <x:v>边界、碰撞、出口、交互点、出生点、地表与遮挡数据</x:v>
      </x:c>
      <x:c r="E15" s="3" t="str">
        <x:v>同一份数据被运行时、编辑器和校验器读取</x:v>
      </x:c>
      <x:c r="F15" s="6" t="str">
        <x:v>A07,T01</x:v>
      </x:c>
      <x:c r="G15" s="16" t="str">
        <x:v>S1</x:v>
      </x:c>
      <x:c r="H15" s="16" t="str">
        <x:v>必需</x:v>
      </x:c>
      <x:c r="I15" s="3" t="str">
        <x:v>关卡策划／场景程序</x:v>
      </x:c>
      <x:c r="J15" s="3" t="str">
        <x:v>新增</x:v>
      </x:c>
      <x:c r="K15" s="17" t="str">
        <x:v>未开始</x:v>
      </x:c>
      <x:c r="L15" s="17" t="str"/>
      <x:c r="M15" s="18"/>
      <x:c r="N15" s="18"/>
    </x:row>
    <x:row r="16" ht="76" customHeight="1">
      <x:c r="A16" s="12" t="str">
        <x:v>B03</x:v>
      </x:c>
      <x:c r="B16" s="11" t="str">
        <x:v>世界与地图</x:v>
      </x:c>
      <x:c r="C16" s="11" t="str">
        <x:v>角色漫游与碰撞</x:v>
      </x:c>
      <x:c r="D16" s="11" t="str">
        <x:v>主角移动、寻路、跟随、楼层限制和脱困逻辑</x:v>
      </x:c>
      <x:c r="E16" s="11" t="str">
        <x:v>窄门、台阶、遮挡后、切场景均无稳定卡死点</x:v>
      </x:c>
      <x:c r="F16" s="14" t="str">
        <x:v>B02,A04</x:v>
      </x:c>
      <x:c r="G16" s="15" t="str">
        <x:v>S1</x:v>
      </x:c>
      <x:c r="H16" s="15" t="str">
        <x:v>必需</x:v>
      </x:c>
      <x:c r="I16" s="11" t="str">
        <x:v>关卡策划／场景程序</x:v>
      </x:c>
      <x:c r="J16" s="11" t="str">
        <x:v>新增</x:v>
      </x:c>
      <x:c r="K16" s="17" t="str">
        <x:v>未开始</x:v>
      </x:c>
      <x:c r="L16" s="17" t="str"/>
      <x:c r="M16" s="18"/>
      <x:c r="N16" s="18"/>
    </x:row>
    <x:row r="17" ht="76" customHeight="1">
      <x:c r="A17" s="13" t="str">
        <x:v>B04</x:v>
      </x:c>
      <x:c r="B17" s="3" t="str">
        <x:v>世界与地图</x:v>
      </x:c>
      <x:c r="C17" s="3" t="str">
        <x:v>跨地图旅行与进入规则</x:v>
      </x:c>
      <x:c r="D17" s="3" t="str">
        <x:v>地图出口、世界旅行、路程时间、通行权限</x:v>
      </x:c>
      <x:c r="E17" s="3" t="str">
        <x:v>旅行扣时一次；无法进入时解释原因并给替代路线</x:v>
      </x:c>
      <x:c r="F17" s="6" t="str">
        <x:v>B03,D02</x:v>
      </x:c>
      <x:c r="G17" s="16" t="str">
        <x:v>S1</x:v>
      </x:c>
      <x:c r="H17" s="16" t="str">
        <x:v>必需</x:v>
      </x:c>
      <x:c r="I17" s="3" t="str">
        <x:v>关卡策划／场景程序</x:v>
      </x:c>
      <x:c r="J17" s="3" t="str">
        <x:v>新增</x:v>
      </x:c>
      <x:c r="K17" s="17" t="str">
        <x:v>未开始</x:v>
      </x:c>
      <x:c r="L17" s="17" t="str"/>
      <x:c r="M17" s="18"/>
      <x:c r="N17" s="18"/>
    </x:row>
    <x:row r="18" ht="76" customHeight="1">
      <x:c r="A18" s="12" t="str">
        <x:v>B05</x:v>
      </x:c>
      <x:c r="B18" s="11" t="str">
        <x:v>世界与地图</x:v>
      </x:c>
      <x:c r="C18" s="11" t="str">
        <x:v>室内外与遮挡方案</x:v>
      </x:c>
      <x:c r="D18" s="11" t="str">
        <x:v>屋顶隐藏、前景淡出、可进入建筑和镜头边界</x:v>
      </x:c>
      <x:c r="E18" s="11" t="str">
        <x:v>角色、出口和互动对象不被长期遮住</x:v>
      </x:c>
      <x:c r="F18" s="14" t="str">
        <x:v>B03,A05</x:v>
      </x:c>
      <x:c r="G18" s="15" t="str">
        <x:v>S1</x:v>
      </x:c>
      <x:c r="H18" s="15" t="str">
        <x:v>必需</x:v>
      </x:c>
      <x:c r="I18" s="11" t="str">
        <x:v>关卡策划／场景程序</x:v>
      </x:c>
      <x:c r="J18" s="11" t="str">
        <x:v>新增</x:v>
      </x:c>
      <x:c r="K18" s="17" t="str">
        <x:v>未开始</x:v>
      </x:c>
      <x:c r="L18" s="17" t="str"/>
      <x:c r="M18" s="18"/>
      <x:c r="N18" s="18"/>
    </x:row>
    <x:row r="19" ht="76" customHeight="1">
      <x:c r="A19" s="13" t="str">
        <x:v>B06</x:v>
      </x:c>
      <x:c r="B19" s="3" t="str">
        <x:v>世界与地图</x:v>
      </x:c>
      <x:c r="C19" s="3" t="str">
        <x:v>单镇及周边灰盒</x:v>
      </x:c>
      <x:c r="D19" s="3" t="str">
        <x:v>镇街、客栈、医馆、郊野、门派前院和敌据点六张地图</x:v>
      </x:c>
      <x:c r="E19" s="3" t="str">
        <x:v>所有主路径、返回路线和任务交接可完整走通</x:v>
      </x:c>
      <x:c r="F19" s="6" t="str">
        <x:v>B04,B05</x:v>
      </x:c>
      <x:c r="G19" s="16" t="str">
        <x:v>S1</x:v>
      </x:c>
      <x:c r="H19" s="16" t="str">
        <x:v>必需</x:v>
      </x:c>
      <x:c r="I19" s="3" t="str">
        <x:v>关卡策划／场景程序</x:v>
      </x:c>
      <x:c r="J19" s="3" t="str">
        <x:v>新增</x:v>
      </x:c>
      <x:c r="K19" s="17" t="str">
        <x:v>未开始</x:v>
      </x:c>
      <x:c r="L19" s="17" t="str"/>
      <x:c r="M19" s="18"/>
      <x:c r="N19" s="18"/>
    </x:row>
    <x:row r="20" ht="76" customHeight="1">
      <x:c r="A20" s="12" t="str">
        <x:v>B07</x:v>
      </x:c>
      <x:c r="B20" s="11" t="str">
        <x:v>世界与地图</x:v>
      </x:c>
      <x:c r="C20" s="11" t="str">
        <x:v>区域地图与兴趣点组织</x:v>
      </x:c>
      <x:c r="D20" s="11" t="str">
        <x:v>多个聚落、近路、秘密入口、危险区和地标布点规范</x:v>
      </x:c>
      <x:c r="E20" s="11" t="str">
        <x:v>探索每段有决策或发现；避免长时间无交互赶路</x:v>
      </x:c>
      <x:c r="F20" s="14" t="str">
        <x:v>B06,K01</x:v>
      </x:c>
      <x:c r="G20" s="15" t="str">
        <x:v>S2</x:v>
      </x:c>
      <x:c r="H20" s="15" t="str">
        <x:v>必需</x:v>
      </x:c>
      <x:c r="I20" s="11" t="str">
        <x:v>关卡策划／场景程序</x:v>
      </x:c>
      <x:c r="J20" s="11" t="str">
        <x:v>新增</x:v>
      </x:c>
      <x:c r="K20" s="17" t="str">
        <x:v>未开始</x:v>
      </x:c>
      <x:c r="L20" s="17" t="str"/>
      <x:c r="M20" s="18"/>
      <x:c r="N20" s="18"/>
    </x:row>
    <x:row r="21" ht="76" customHeight="1">
      <x:c r="A21" s="13" t="str">
        <x:v>B08</x:v>
      </x:c>
      <x:c r="B21" s="3" t="str">
        <x:v>世界与地图</x:v>
      </x:c>
      <x:c r="C21" s="3" t="str">
        <x:v>环境叙事与回访变化</x:v>
      </x:c>
      <x:c r="D21" s="3" t="str">
        <x:v>事件前后场景层、势力旗帜、店铺状态和破坏痕迹</x:v>
      </x:c>
      <x:c r="E21" s="3" t="str">
        <x:v>事件变化在地图、对话、服务三个层面一致</x:v>
      </x:c>
      <x:c r="F21" s="6" t="str">
        <x:v>B07,D05</x:v>
      </x:c>
      <x:c r="G21" s="16" t="str">
        <x:v>S2</x:v>
      </x:c>
      <x:c r="H21" s="16" t="str">
        <x:v>必需</x:v>
      </x:c>
      <x:c r="I21" s="3" t="str">
        <x:v>关卡策划／场景程序</x:v>
      </x:c>
      <x:c r="J21" s="3" t="str">
        <x:v>新增</x:v>
      </x:c>
      <x:c r="K21" s="17" t="str">
        <x:v>未开始</x:v>
      </x:c>
      <x:c r="L21" s="17" t="str"/>
      <x:c r="M21" s="18"/>
      <x:c r="N21" s="18"/>
    </x:row>
    <x:row r="22" ht="76" customHeight="1">
      <x:c r="A22" s="12" t="str">
        <x:v>B09</x:v>
      </x:c>
      <x:c r="B22" s="11" t="str">
        <x:v>世界与地图</x:v>
      </x:c>
      <x:c r="C22" s="11" t="str">
        <x:v>首发地图制作与验收</x:v>
      </x:c>
      <x:c r="D22" s="11" t="str">
        <x:v>按内容规模表量产地图、边界、照明和事件层</x:v>
      </x:c>
      <x:c r="E22" s="11" t="str">
        <x:v>逐图完成导航、遮挡、性能、任务点与资源检查</x:v>
      </x:c>
      <x:c r="F22" s="14" t="str">
        <x:v>B08,O07,U02</x:v>
      </x:c>
      <x:c r="G22" s="15" t="str">
        <x:v>S3</x:v>
      </x:c>
      <x:c r="H22" s="15" t="str">
        <x:v>必需</x:v>
      </x:c>
      <x:c r="I22" s="11" t="str">
        <x:v>关卡策划／场景程序</x:v>
      </x:c>
      <x:c r="J22" s="11" t="str">
        <x:v>新增</x:v>
      </x:c>
      <x:c r="K22" s="17" t="str">
        <x:v>未开始</x:v>
      </x:c>
      <x:c r="L22" s="17" t="str"/>
      <x:c r="M22" s="18"/>
      <x:c r="N22" s="18"/>
    </x:row>
    <x:row r="23" ht="76" customHeight="1">
      <x:c r="A23" s="13" t="str">
        <x:v>C01</x:v>
      </x:c>
      <x:c r="B23" s="3" t="str">
        <x:v>通用行动与交互</x:v>
      </x:c>
      <x:c r="C23" s="3" t="str">
        <x:v>交互动词与目标分类</x:v>
      </x:c>
      <x:c r="D23" s="3" t="str">
        <x:v>交谈、观察、赠礼、交易、切磋、邀请等目标矩阵</x:v>
      </x:c>
      <x:c r="E23" s="3" t="str">
        <x:v>目标不支持的动作有规则与反馈，避免假按钮</x:v>
      </x:c>
      <x:c r="F23" s="6" t="str">
        <x:v>A03,T01</x:v>
      </x:c>
      <x:c r="G23" s="16" t="str">
        <x:v>S1</x:v>
      </x:c>
      <x:c r="H23" s="16" t="str">
        <x:v>必需</x:v>
      </x:c>
      <x:c r="I23" s="3" t="str">
        <x:v>系统策划／玩法程序</x:v>
      </x:c>
      <x:c r="J23" s="3" t="str">
        <x:v>重构</x:v>
      </x:c>
      <x:c r="K23" s="17" t="str">
        <x:v>未开始</x:v>
      </x:c>
      <x:c r="L23" s="17" t="str"/>
      <x:c r="M23" s="18"/>
      <x:c r="N23" s="18"/>
    </x:row>
    <x:row r="24" ht="76" customHeight="1">
      <x:c r="A24" s="12" t="str">
        <x:v>C02</x:v>
      </x:c>
      <x:c r="B24" s="11" t="str">
        <x:v>通用行动与交互</x:v>
      </x:c>
      <x:c r="C24" s="11" t="str">
        <x:v>条件查询与失败原因</x:v>
      </x:c>
      <x:c r="D24" s="11" t="str">
        <x:v>条件表达式、锁定原因、价格和风险预览</x:v>
      </x:c>
      <x:c r="E24" s="11" t="str">
        <x:v>显示条件与实际执行共用同一判断来源</x:v>
      </x:c>
      <x:c r="F24" s="14" t="str">
        <x:v>C01,T03</x:v>
      </x:c>
      <x:c r="G24" s="15" t="str">
        <x:v>S1</x:v>
      </x:c>
      <x:c r="H24" s="15" t="str">
        <x:v>必需</x:v>
      </x:c>
      <x:c r="I24" s="11" t="str">
        <x:v>系统策划／玩法程序</x:v>
      </x:c>
      <x:c r="J24" s="11" t="str">
        <x:v>重构</x:v>
      </x:c>
      <x:c r="K24" s="17" t="str">
        <x:v>未开始</x:v>
      </x:c>
      <x:c r="L24" s="17" t="str"/>
      <x:c r="M24" s="18"/>
      <x:c r="N24" s="18"/>
    </x:row>
    <x:row r="25" ht="76" customHeight="1">
      <x:c r="A25" s="13" t="str">
        <x:v>C03</x:v>
      </x:c>
      <x:c r="B25" s="3" t="str">
        <x:v>通用行动与交互</x:v>
      </x:c>
      <x:c r="C25" s="3" t="str">
        <x:v>行动成本与原子提交</x:v>
      </x:c>
      <x:c r="D25" s="3" t="str">
        <x:v>时间、钱、道具和关系的一次性提交与失败回滚</x:v>
      </x:c>
      <x:c r="E25" s="3" t="str">
        <x:v>资源不足、连点或中途失败不会部分扣费或重复发奖</x:v>
      </x:c>
      <x:c r="F25" s="6" t="str">
        <x:v>C02,T02</x:v>
      </x:c>
      <x:c r="G25" s="16" t="str">
        <x:v>S1</x:v>
      </x:c>
      <x:c r="H25" s="16" t="str">
        <x:v>必需</x:v>
      </x:c>
      <x:c r="I25" s="3" t="str">
        <x:v>系统策划／玩法程序</x:v>
      </x:c>
      <x:c r="J25" s="3" t="str">
        <x:v>重构</x:v>
      </x:c>
      <x:c r="K25" s="17" t="str">
        <x:v>未开始</x:v>
      </x:c>
      <x:c r="L25" s="17" t="str"/>
      <x:c r="M25" s="18"/>
      <x:c r="N25" s="18"/>
    </x:row>
    <x:row r="26" ht="76" customHeight="1">
      <x:c r="A26" s="12" t="str">
        <x:v>C04</x:v>
      </x:c>
      <x:c r="B26" s="11" t="str">
        <x:v>通用行动与交互</x:v>
      </x:c>
      <x:c r="C26" s="11" t="str">
        <x:v>对话与观察交互</x:v>
      </x:c>
      <x:c r="D26" s="11" t="str">
        <x:v>交谈入口、可见线索、上下文选项和信息记录</x:v>
      </x:c>
      <x:c r="E26" s="11" t="str">
        <x:v>观察不泄漏玩家尚未掌握的幕后状态</x:v>
      </x:c>
      <x:c r="F26" s="14" t="str">
        <x:v>C03,E01</x:v>
      </x:c>
      <x:c r="G26" s="15" t="str">
        <x:v>S1</x:v>
      </x:c>
      <x:c r="H26" s="15" t="str">
        <x:v>必需</x:v>
      </x:c>
      <x:c r="I26" s="11" t="str">
        <x:v>系统策划／玩法程序</x:v>
      </x:c>
      <x:c r="J26" s="11" t="str">
        <x:v>重构</x:v>
      </x:c>
      <x:c r="K26" s="17" t="str">
        <x:v>未开始</x:v>
      </x:c>
      <x:c r="L26" s="17" t="str"/>
      <x:c r="M26" s="18"/>
      <x:c r="N26" s="18"/>
    </x:row>
    <x:row r="27" ht="76" customHeight="1">
      <x:c r="A27" s="13" t="str">
        <x:v>C05</x:v>
      </x:c>
      <x:c r="B27" s="3" t="str">
        <x:v>通用行动与交互</x:v>
      </x:c>
      <x:c r="C27" s="3" t="str">
        <x:v>获取与归属交互</x:v>
      </x:c>
      <x:c r="D27" s="3" t="str">
        <x:v>拾取、容器、赠予、买卖和归还的统一物品变更</x:v>
      </x:c>
      <x:c r="E27" s="3" t="str">
        <x:v>物品来源、所有者与任务标记全程保留</x:v>
      </x:c>
      <x:c r="F27" s="6" t="str">
        <x:v>C03,L01</x:v>
      </x:c>
      <x:c r="G27" s="16" t="str">
        <x:v>S1</x:v>
      </x:c>
      <x:c r="H27" s="16" t="str">
        <x:v>必需</x:v>
      </x:c>
      <x:c r="I27" s="3" t="str">
        <x:v>系统策划／玩法程序</x:v>
      </x:c>
      <x:c r="J27" s="3" t="str">
        <x:v>重构</x:v>
      </x:c>
      <x:c r="K27" s="17" t="str">
        <x:v>未开始</x:v>
      </x:c>
      <x:c r="L27" s="17" t="str"/>
      <x:c r="M27" s="18"/>
      <x:c r="N27" s="18"/>
    </x:row>
    <x:row r="28" ht="76" customHeight="1">
      <x:c r="A28" s="12" t="str">
        <x:v>C06</x:v>
      </x:c>
      <x:c r="B28" s="11" t="str">
        <x:v>通用行动与交互</x:v>
      </x:c>
      <x:c r="C28" s="11" t="str">
        <x:v>武力与秘密行动</x:v>
      </x:c>
      <x:c r="D28" s="11" t="str">
        <x:v>威胁、偷取、潜入、切磋、攻击的风险及结果接口</x:v>
      </x:c>
      <x:c r="E28" s="11" t="str">
        <x:v>挑战、犯罪和击杀事件明确区分，可被系统订阅</x:v>
      </x:c>
      <x:c r="F28" s="14" t="str">
        <x:v>C03,N01,I01</x:v>
      </x:c>
      <x:c r="G28" s="15" t="str">
        <x:v>S1</x:v>
      </x:c>
      <x:c r="H28" s="15" t="str">
        <x:v>必需</x:v>
      </x:c>
      <x:c r="I28" s="11" t="str">
        <x:v>系统策划／玩法程序</x:v>
      </x:c>
      <x:c r="J28" s="11" t="str">
        <x:v>重构</x:v>
      </x:c>
      <x:c r="K28" s="17" t="str">
        <x:v>未开始</x:v>
      </x:c>
      <x:c r="L28" s="17" t="str"/>
      <x:c r="M28" s="18"/>
      <x:c r="N28" s="18"/>
    </x:row>
    <x:row r="29" ht="76" customHeight="1">
      <x:c r="A29" s="13" t="str">
        <x:v>C07</x:v>
      </x:c>
      <x:c r="B29" s="3" t="str">
        <x:v>通用行动与交互</x:v>
      </x:c>
      <x:c r="C29" s="3" t="str">
        <x:v>场景能力交互</x:v>
      </x:c>
      <x:c r="D29" s="3" t="str">
        <x:v>攀爬、轻功越障、机关、疗伤、破门等能力检定</x:v>
      </x:c>
      <x:c r="E29" s="3" t="str">
        <x:v>同一障碍支持设计过的替代路径，失败有退路</x:v>
      </x:c>
      <x:c r="F29" s="6" t="str">
        <x:v>C03,H07,B06</x:v>
      </x:c>
      <x:c r="G29" s="16" t="str">
        <x:v>S2</x:v>
      </x:c>
      <x:c r="H29" s="16" t="str">
        <x:v>必需</x:v>
      </x:c>
      <x:c r="I29" s="3" t="str">
        <x:v>系统策划／玩法程序</x:v>
      </x:c>
      <x:c r="J29" s="3" t="str">
        <x:v>重构</x:v>
      </x:c>
      <x:c r="K29" s="17" t="str">
        <x:v>未开始</x:v>
      </x:c>
      <x:c r="L29" s="17" t="str"/>
      <x:c r="M29" s="18"/>
      <x:c r="N29" s="18"/>
    </x:row>
    <x:row r="30" ht="76" customHeight="1">
      <x:c r="A30" s="12" t="str">
        <x:v>C08</x:v>
      </x:c>
      <x:c r="B30" s="11" t="str">
        <x:v>通用行动与交互</x:v>
      </x:c>
      <x:c r="C30" s="11" t="str">
        <x:v>多解事件样板</x:v>
      </x:c>
      <x:c r="D30" s="11" t="str">
        <x:v>一本秘籍的拜师、交易、结交、偷取等路径样板</x:v>
      </x:c>
      <x:c r="E30" s="11" t="str">
        <x:v>各路径成本、后果不同；不可重复领取同一唯一物品</x:v>
      </x:c>
      <x:c r="F30" s="14" t="str">
        <x:v>C04,C05,C06,F03,J03</x:v>
      </x:c>
      <x:c r="G30" s="15" t="str">
        <x:v>S1</x:v>
      </x:c>
      <x:c r="H30" s="15" t="str">
        <x:v>必需</x:v>
      </x:c>
      <x:c r="I30" s="11" t="str">
        <x:v>系统策划／玩法程序</x:v>
      </x:c>
      <x:c r="J30" s="11" t="str">
        <x:v>重构</x:v>
      </x:c>
      <x:c r="K30" s="17" t="str">
        <x:v>未开始</x:v>
      </x:c>
      <x:c r="L30" s="17" t="str"/>
      <x:c r="M30" s="18"/>
      <x:c r="N30" s="18"/>
    </x:row>
    <x:row r="31" ht="76" customHeight="1">
      <x:c r="A31" s="13" t="str">
        <x:v>D01</x:v>
      </x:c>
      <x:c r="B31" s="3" t="str">
        <x:v>时间与世界演化</x:v>
      </x:c>
      <x:c r="C31" s="3" t="str">
        <x:v>世界时钟与暂停规则</x:v>
      </x:c>
      <x:c r="D31" s="3" t="str">
        <x:v>统一时间单位、推进来源、菜单暂停及事件时间戳</x:v>
      </x:c>
      <x:c r="E31" s="3" t="str">
        <x:v>菜单、战斗、旅行、休息不会出现两套时间</x:v>
      </x:c>
      <x:c r="F31" s="6" t="str">
        <x:v>A03,T02</x:v>
      </x:c>
      <x:c r="G31" s="16" t="str">
        <x:v>S1</x:v>
      </x:c>
      <x:c r="H31" s="16" t="str">
        <x:v>必需</x:v>
      </x:c>
      <x:c r="I31" s="3" t="str">
        <x:v>系统程序／系统策划</x:v>
      </x:c>
      <x:c r="J31" s="3" t="str">
        <x:v>扩展</x:v>
      </x:c>
      <x:c r="K31" s="17" t="str">
        <x:v>未开始</x:v>
      </x:c>
      <x:c r="L31" s="17" t="str"/>
      <x:c r="M31" s="18"/>
      <x:c r="N31" s="18"/>
    </x:row>
    <x:row r="32" ht="76" customHeight="1">
      <x:c r="A32" s="12" t="str">
        <x:v>D02</x:v>
      </x:c>
      <x:c r="B32" s="11" t="str">
        <x:v>时间与世界演化</x:v>
      </x:c>
      <x:c r="C32" s="11" t="str">
        <x:v>行动耗时与预警</x:v>
      </x:c>
      <x:c r="D32" s="11" t="str">
        <x:v>旅行、休息、练功、制作耗时及限时任务提示</x:v>
      </x:c>
      <x:c r="E32" s="11" t="str">
        <x:v>关键耗时行动提前提示；读档不重扣时间</x:v>
      </x:c>
      <x:c r="F32" s="14" t="str">
        <x:v>D01</x:v>
      </x:c>
      <x:c r="G32" s="15" t="str">
        <x:v>S1</x:v>
      </x:c>
      <x:c r="H32" s="15" t="str">
        <x:v>必需</x:v>
      </x:c>
      <x:c r="I32" s="11" t="str">
        <x:v>系统程序／系统策划</x:v>
      </x:c>
      <x:c r="J32" s="11" t="str">
        <x:v>扩展</x:v>
      </x:c>
      <x:c r="K32" s="17" t="str">
        <x:v>未开始</x:v>
      </x:c>
      <x:c r="L32" s="17" t="str"/>
      <x:c r="M32" s="18"/>
      <x:c r="N32" s="18"/>
    </x:row>
    <x:row r="33" ht="76" customHeight="1">
      <x:c r="A33" s="13" t="str">
        <x:v>D03</x:v>
      </x:c>
      <x:c r="B33" s="3" t="str">
        <x:v>时间与世界演化</x:v>
      </x:c>
      <x:c r="C33" s="3" t="str">
        <x:v>NPC日程与离屏更新</x:v>
      </x:c>
      <x:c r="D33" s="3" t="str">
        <x:v>时段、地点、活动、事件中断与离屏批量结算</x:v>
      </x:c>
      <x:c r="E33" s="3" t="str">
        <x:v>NPC按规则出现；离屏无需逐帧模拟仍保持一致</x:v>
      </x:c>
      <x:c r="F33" s="6" t="str">
        <x:v>D01,E01,B02</x:v>
      </x:c>
      <x:c r="G33" s="16" t="str">
        <x:v>S2</x:v>
      </x:c>
      <x:c r="H33" s="16" t="str">
        <x:v>必需</x:v>
      </x:c>
      <x:c r="I33" s="3" t="str">
        <x:v>系统程序／系统策划</x:v>
      </x:c>
      <x:c r="J33" s="3" t="str">
        <x:v>扩展</x:v>
      </x:c>
      <x:c r="K33" s="17" t="str">
        <x:v>未开始</x:v>
      </x:c>
      <x:c r="L33" s="17" t="str"/>
      <x:c r="M33" s="18"/>
      <x:c r="N33" s="18"/>
    </x:row>
    <x:row r="34" ht="76" customHeight="1">
      <x:c r="A34" s="12" t="str">
        <x:v>D04</x:v>
      </x:c>
      <x:c r="B34" s="11" t="str">
        <x:v>时间与世界演化</x:v>
      </x:c>
      <x:c r="C34" s="11" t="str">
        <x:v>事件调度与优先级</x:v>
      </x:c>
      <x:c r="D34" s="11" t="str">
        <x:v>未来事件队列、重复周期、取消与冲突优先级</x:v>
      </x:c>
      <x:c r="E34" s="11" t="str">
        <x:v>跨多日、读旧档和一次跳时不会漏发或重发事件</x:v>
      </x:c>
      <x:c r="F34" s="14" t="str">
        <x:v>D01,T03</x:v>
      </x:c>
      <x:c r="G34" s="15" t="str">
        <x:v>S2</x:v>
      </x:c>
      <x:c r="H34" s="15" t="str">
        <x:v>必需</x:v>
      </x:c>
      <x:c r="I34" s="11" t="str">
        <x:v>系统程序／系统策划</x:v>
      </x:c>
      <x:c r="J34" s="11" t="str">
        <x:v>扩展</x:v>
      </x:c>
      <x:c r="K34" s="17" t="str">
        <x:v>未开始</x:v>
      </x:c>
      <x:c r="L34" s="17" t="str"/>
      <x:c r="M34" s="18"/>
      <x:c r="N34" s="18"/>
    </x:row>
    <x:row r="35" ht="76" customHeight="1">
      <x:c r="A35" s="13" t="str">
        <x:v>D05</x:v>
      </x:c>
      <x:c r="B35" s="3" t="str">
        <x:v>时间与世界演化</x:v>
      </x:c>
      <x:c r="C35" s="3" t="str">
        <x:v>世界事件阶段状态</x:v>
      </x:c>
      <x:c r="D35" s="3" t="str">
        <x:v>门派冲突、封路、追捕等有限状态及区域触发器</x:v>
      </x:c>
      <x:c r="E35" s="3" t="str">
        <x:v>状态变化可解释、可存档，受玩家选择和门槛控制</x:v>
      </x:c>
      <x:c r="F35" s="6" t="str">
        <x:v>D04,F01,J02</x:v>
      </x:c>
      <x:c r="G35" s="16" t="str">
        <x:v>S2</x:v>
      </x:c>
      <x:c r="H35" s="16" t="str">
        <x:v>必需</x:v>
      </x:c>
      <x:c r="I35" s="3" t="str">
        <x:v>系统程序／系统策划</x:v>
      </x:c>
      <x:c r="J35" s="3" t="str">
        <x:v>扩展</x:v>
      </x:c>
      <x:c r="K35" s="17" t="str">
        <x:v>未开始</x:v>
      </x:c>
      <x:c r="L35" s="17" t="str"/>
      <x:c r="M35" s="18"/>
      <x:c r="N35" s="18"/>
    </x:row>
    <x:row r="36" ht="76" customHeight="1">
      <x:c r="A36" s="12" t="str">
        <x:v>D06</x:v>
      </x:c>
      <x:c r="B36" s="11" t="str">
        <x:v>时间与世界演化</x:v>
      </x:c>
      <x:c r="C36" s="11" t="str">
        <x:v>物资与服务刷新</x:v>
      </x:c>
      <x:c r="D36" s="11" t="str">
        <x:v>商店库存、委托、采集和NPC服务刷新规则</x:v>
      </x:c>
      <x:c r="E36" s="11" t="str">
        <x:v>同一时间窗口只刷新一次，不通过读档刷无限资源</x:v>
      </x:c>
      <x:c r="F36" s="14" t="str">
        <x:v>D04,L03</x:v>
      </x:c>
      <x:c r="G36" s="15" t="str">
        <x:v>S2</x:v>
      </x:c>
      <x:c r="H36" s="15" t="str">
        <x:v>必需</x:v>
      </x:c>
      <x:c r="I36" s="11" t="str">
        <x:v>系统程序／系统策划</x:v>
      </x:c>
      <x:c r="J36" s="11" t="str">
        <x:v>扩展</x:v>
      </x:c>
      <x:c r="K36" s="17" t="str">
        <x:v>未开始</x:v>
      </x:c>
      <x:c r="L36" s="17" t="str"/>
      <x:c r="M36" s="18"/>
      <x:c r="N36" s="18"/>
    </x:row>
    <x:row r="37" ht="76" customHeight="1">
      <x:c r="A37" s="13" t="str">
        <x:v>D07</x:v>
      </x:c>
      <x:c r="B37" s="3" t="str">
        <x:v>时间与世界演化</x:v>
      </x:c>
      <x:c r="C37" s="3" t="str">
        <x:v>世界演化可读性</x:v>
      </x:c>
      <x:c r="D37" s="3" t="str">
        <x:v>传闻、公告、地图标记和回顾日志</x:v>
      </x:c>
      <x:c r="E37" s="3" t="str">
        <x:v>玩家能理解世界变化的原因、时间与影响范围</x:v>
      </x:c>
      <x:c r="F37" s="6" t="str">
        <x:v>D05,D06,R04</x:v>
      </x:c>
      <x:c r="G37" s="16" t="str">
        <x:v>S3</x:v>
      </x:c>
      <x:c r="H37" s="16" t="str">
        <x:v>必需</x:v>
      </x:c>
      <x:c r="I37" s="3" t="str">
        <x:v>系统程序／系统策划</x:v>
      </x:c>
      <x:c r="J37" s="3" t="str">
        <x:v>扩展</x:v>
      </x:c>
      <x:c r="K37" s="17" t="str">
        <x:v>未开始</x:v>
      </x:c>
      <x:c r="L37" s="17" t="str"/>
      <x:c r="M37" s="18"/>
      <x:c r="N37" s="18"/>
    </x:row>
    <x:row r="38" ht="76" customHeight="1">
      <x:c r="A38" s="12" t="str">
        <x:v>E01</x:v>
      </x:c>
      <x:c r="B38" s="11" t="str">
        <x:v>NPC与社交</x:v>
      </x:c>
      <x:c r="C38" s="11" t="str">
        <x:v>NPC统一档案</x:v>
      </x:c>
      <x:c r="D38" s="11" t="str">
        <x:v>身份、阵营、生命状态、技能、物品、日程和对话入口</x:v>
      </x:c>
      <x:c r="E38" s="11" t="str">
        <x:v>每个命名NPC只有一个稳定ID和权威状态</x:v>
      </x:c>
      <x:c r="F38" s="14" t="str">
        <x:v>T01,A03</x:v>
      </x:c>
      <x:c r="G38" s="15" t="str">
        <x:v>S1</x:v>
      </x:c>
      <x:c r="H38" s="15" t="str">
        <x:v>必需</x:v>
      </x:c>
      <x:c r="I38" s="11" t="str">
        <x:v>叙事系统策划／程序</x:v>
      </x:c>
      <x:c r="J38" s="11" t="str">
        <x:v>扩展</x:v>
      </x:c>
      <x:c r="K38" s="17" t="str">
        <x:v>未开始</x:v>
      </x:c>
      <x:c r="L38" s="17" t="str"/>
      <x:c r="M38" s="18"/>
      <x:c r="N38" s="18"/>
    </x:row>
    <x:row r="39" ht="76" customHeight="1">
      <x:c r="A39" s="13" t="str">
        <x:v>E02</x:v>
      </x:c>
      <x:c r="B39" s="3" t="str">
        <x:v>NPC与社交</x:v>
      </x:c>
      <x:c r="C39" s="3" t="str">
        <x:v>关系维度与阈值</x:v>
      </x:c>
      <x:c r="D39" s="3" t="str">
        <x:v>好感、信任、人情、警惕的用途与阈值</x:v>
      </x:c>
      <x:c r="E39" s="3" t="str">
        <x:v>每个维度改变至少一种实际互动，避免纯装饰数值</x:v>
      </x:c>
      <x:c r="F39" s="6" t="str">
        <x:v>E01,C03</x:v>
      </x:c>
      <x:c r="G39" s="16" t="str">
        <x:v>S1</x:v>
      </x:c>
      <x:c r="H39" s="16" t="str">
        <x:v>必需</x:v>
      </x:c>
      <x:c r="I39" s="3" t="str">
        <x:v>叙事系统策划／程序</x:v>
      </x:c>
      <x:c r="J39" s="3" t="str">
        <x:v>扩展</x:v>
      </x:c>
      <x:c r="K39" s="17" t="str">
        <x:v>未开始</x:v>
      </x:c>
      <x:c r="L39" s="17" t="str"/>
      <x:c r="M39" s="18"/>
      <x:c r="N39" s="18"/>
    </x:row>
    <x:row r="40" ht="76" customHeight="1">
      <x:c r="A40" s="12" t="str">
        <x:v>E03</x:v>
      </x:c>
      <x:c r="B40" s="11" t="str">
        <x:v>NPC与社交</x:v>
      </x:c>
      <x:c r="C40" s="11" t="str">
        <x:v>记忆与信息掌握</x:v>
      </x:c>
      <x:c r="D40" s="11" t="str">
        <x:v>目击、承诺、赠礼、恩怨及消息来源记录</x:v>
      </x:c>
      <x:c r="E40" s="11" t="str">
        <x:v>NPC只基于已知信息作反应，防止全世界自动知情</x:v>
      </x:c>
      <x:c r="F40" s="14" t="str">
        <x:v>E01,T03</x:v>
      </x:c>
      <x:c r="G40" s="15" t="str">
        <x:v>S2</x:v>
      </x:c>
      <x:c r="H40" s="15" t="str">
        <x:v>必需</x:v>
      </x:c>
      <x:c r="I40" s="11" t="str">
        <x:v>叙事系统策划／程序</x:v>
      </x:c>
      <x:c r="J40" s="11" t="str">
        <x:v>扩展</x:v>
      </x:c>
      <x:c r="K40" s="17" t="str">
        <x:v>未开始</x:v>
      </x:c>
      <x:c r="L40" s="17" t="str"/>
      <x:c r="M40" s="18"/>
      <x:c r="N40" s="18"/>
    </x:row>
    <x:row r="41" ht="76" customHeight="1">
      <x:c r="A41" s="13" t="str">
        <x:v>E04</x:v>
      </x:c>
      <x:c r="B41" s="3" t="str">
        <x:v>NPC与社交</x:v>
      </x:c>
      <x:c r="C41" s="3" t="str">
        <x:v>赠礼请求与请教</x:v>
      </x:c>
      <x:c r="D41" s="3" t="str">
        <x:v>偏好、重复衰减、请求条件、切磋与请教反馈</x:v>
      </x:c>
      <x:c r="E41" s="3" t="str">
        <x:v>赠礼无法低成本无限刷满；授艺条件可以查明</x:v>
      </x:c>
      <x:c r="F41" s="6" t="str">
        <x:v>E02,H01</x:v>
      </x:c>
      <x:c r="G41" s="16" t="str">
        <x:v>S1</x:v>
      </x:c>
      <x:c r="H41" s="16" t="str">
        <x:v>必需</x:v>
      </x:c>
      <x:c r="I41" s="3" t="str">
        <x:v>叙事系统策划／程序</x:v>
      </x:c>
      <x:c r="J41" s="3" t="str">
        <x:v>扩展</x:v>
      </x:c>
      <x:c r="K41" s="17" t="str">
        <x:v>未开始</x:v>
      </x:c>
      <x:c r="L41" s="17" t="str"/>
      <x:c r="M41" s="18"/>
      <x:c r="N41" s="18"/>
    </x:row>
    <x:row r="42" ht="76" customHeight="1">
      <x:c r="A42" s="12" t="str">
        <x:v>E05</x:v>
      </x:c>
      <x:c r="B42" s="11" t="str">
        <x:v>NPC与社交</x:v>
      </x:c>
      <x:c r="C42" s="11" t="str">
        <x:v>关系解锁的服务</x:v>
      </x:c>
      <x:c r="D42" s="11" t="str">
        <x:v>折扣、作保、情报、引荐和协助接口</x:v>
      </x:c>
      <x:c r="E42" s="11" t="str">
        <x:v>同一关系门槛在界面、对话与执行结果一致</x:v>
      </x:c>
      <x:c r="F42" s="14" t="str">
        <x:v>E02,C02</x:v>
      </x:c>
      <x:c r="G42" s="15" t="str">
        <x:v>S2</x:v>
      </x:c>
      <x:c r="H42" s="15" t="str">
        <x:v>必需</x:v>
      </x:c>
      <x:c r="I42" s="11" t="str">
        <x:v>叙事系统策划／程序</x:v>
      </x:c>
      <x:c r="J42" s="11" t="str">
        <x:v>扩展</x:v>
      </x:c>
      <x:c r="K42" s="17" t="str">
        <x:v>未开始</x:v>
      </x:c>
      <x:c r="L42" s="17" t="str"/>
      <x:c r="M42" s="18"/>
      <x:c r="N42" s="18"/>
    </x:row>
    <x:row r="43" ht="76" customHeight="1">
      <x:c r="A43" s="13" t="str">
        <x:v>E06</x:v>
      </x:c>
      <x:c r="B43" s="3" t="str">
        <x:v>NPC与社交</x:v>
      </x:c>
      <x:c r="C43" s="3" t="str">
        <x:v>社交冲突与修复</x:v>
      </x:c>
      <x:c r="D43" s="3" t="str">
        <x:v>失信、道歉、赔偿、偿还人情及敌意消退</x:v>
      </x:c>
      <x:c r="E43" s="3" t="str">
        <x:v>关系有可理解的修复途径，极端后果提前告知</x:v>
      </x:c>
      <x:c r="F43" s="6" t="str">
        <x:v>E03,N04</x:v>
      </x:c>
      <x:c r="G43" s="16" t="str">
        <x:v>S2</x:v>
      </x:c>
      <x:c r="H43" s="16" t="str">
        <x:v>必需</x:v>
      </x:c>
      <x:c r="I43" s="3" t="str">
        <x:v>叙事系统策划／程序</x:v>
      </x:c>
      <x:c r="J43" s="3" t="str">
        <x:v>扩展</x:v>
      </x:c>
      <x:c r="K43" s="17" t="str">
        <x:v>未开始</x:v>
      </x:c>
      <x:c r="L43" s="17" t="str"/>
      <x:c r="M43" s="18"/>
      <x:c r="N43" s="18"/>
    </x:row>
    <x:row r="44" ht="76" customHeight="1">
      <x:c r="A44" s="12" t="str">
        <x:v>E07</x:v>
      </x:c>
      <x:c r="B44" s="11" t="str">
        <x:v>NPC与社交</x:v>
      </x:c>
      <x:c r="C44" s="11" t="str">
        <x:v>生死失踪与替代联络</x:v>
      </x:c>
      <x:c r="D44" s="11" t="str">
        <x:v>死亡、被捕、离城、隐居和继任者状态</x:v>
      </x:c>
      <x:c r="E44" s="11" t="str">
        <x:v>关键目标死亡后任务替换、关闭或结算，不悬空</x:v>
      </x:c>
      <x:c r="F44" s="14" t="str">
        <x:v>E01,J05</x:v>
      </x:c>
      <x:c r="G44" s="15" t="str">
        <x:v>S2</x:v>
      </x:c>
      <x:c r="H44" s="15" t="str">
        <x:v>必需</x:v>
      </x:c>
      <x:c r="I44" s="11" t="str">
        <x:v>叙事系统策划／程序</x:v>
      </x:c>
      <x:c r="J44" s="11" t="str">
        <x:v>扩展</x:v>
      </x:c>
      <x:c r="K44" s="17" t="str">
        <x:v>未开始</x:v>
      </x:c>
      <x:c r="L44" s="17" t="str"/>
      <x:c r="M44" s="18"/>
      <x:c r="N44" s="18"/>
    </x:row>
    <x:row r="45" ht="76" customHeight="1">
      <x:c r="A45" s="13" t="str">
        <x:v>E08</x:v>
      </x:c>
      <x:c r="B45" s="3" t="str">
        <x:v>NPC与社交</x:v>
      </x:c>
      <x:c r="C45" s="3" t="str">
        <x:v>背景人物与群像层级</x:v>
      </x:c>
      <x:c r="D45" s="3" t="str">
        <x:v>背景NPC模板、环境对话及重要度分层</x:v>
      </x:c>
      <x:c r="E45" s="3" t="str">
        <x:v>背景人群丰富场景且不承担未经实现的复杂承诺</x:v>
      </x:c>
      <x:c r="F45" s="6" t="str">
        <x:v>E01,D03,P02</x:v>
      </x:c>
      <x:c r="G45" s="16" t="str">
        <x:v>S3</x:v>
      </x:c>
      <x:c r="H45" s="16" t="str">
        <x:v>必需</x:v>
      </x:c>
      <x:c r="I45" s="3" t="str">
        <x:v>叙事系统策划／程序</x:v>
      </x:c>
      <x:c r="J45" s="3" t="str">
        <x:v>扩展</x:v>
      </x:c>
      <x:c r="K45" s="17" t="str">
        <x:v>未开始</x:v>
      </x:c>
      <x:c r="L45" s="17" t="str"/>
      <x:c r="M45" s="18"/>
      <x:c r="N45" s="18"/>
    </x:row>
    <x:row r="46" ht="76" customHeight="1">
      <x:c r="A46" s="12" t="str">
        <x:v>E09</x:v>
      </x:c>
      <x:c r="B46" s="11" t="str">
        <x:v>NPC与社交</x:v>
      </x:c>
      <x:c r="C46" s="11" t="str">
        <x:v>命名NPC内容生产</x:v>
      </x:c>
      <x:c r="D46" s="11" t="str">
        <x:v>人物小传、利益、关系网、对话、日程和事件表</x:v>
      </x:c>
      <x:c r="E46" s="11" t="str">
        <x:v>每个命名NPC至少有可玩关系或任务用途</x:v>
      </x:c>
      <x:c r="F46" s="14" t="str">
        <x:v>E04,E05,E06,E07,U03</x:v>
      </x:c>
      <x:c r="G46" s="15" t="str">
        <x:v>S3</x:v>
      </x:c>
      <x:c r="H46" s="15" t="str">
        <x:v>必需</x:v>
      </x:c>
      <x:c r="I46" s="11" t="str">
        <x:v>叙事系统策划／程序</x:v>
      </x:c>
      <x:c r="J46" s="11" t="str">
        <x:v>扩展</x:v>
      </x:c>
      <x:c r="K46" s="17" t="str">
        <x:v>未开始</x:v>
      </x:c>
      <x:c r="L46" s="17" t="str"/>
      <x:c r="M46" s="18"/>
      <x:c r="N46" s="18"/>
    </x:row>
    <x:row r="47" ht="76" customHeight="1">
      <x:c r="A47" s="13" t="str">
        <x:v>F01</x:v>
      </x:c>
      <x:c r="B47" s="3" t="str">
        <x:v>门派与势力</x:v>
      </x:c>
      <x:c r="C47" s="3" t="str">
        <x:v>势力模型与立场</x:v>
      </x:c>
      <x:c r="D47" s="3" t="str">
        <x:v>门派、商会、官府等实体、领地、外交和资源标签</x:v>
      </x:c>
      <x:c r="E47" s="3" t="str">
        <x:v>玩家声望、NPC私交与势力立场分开存储</x:v>
      </x:c>
      <x:c r="F47" s="6" t="str">
        <x:v>T01,A03</x:v>
      </x:c>
      <x:c r="G47" s="16" t="str">
        <x:v>S1</x:v>
      </x:c>
      <x:c r="H47" s="16" t="str">
        <x:v>必需</x:v>
      </x:c>
      <x:c r="I47" s="3" t="str">
        <x:v>系统策划／叙事策划</x:v>
      </x:c>
      <x:c r="J47" s="3" t="str">
        <x:v>新增</x:v>
      </x:c>
      <x:c r="K47" s="17" t="str">
        <x:v>未开始</x:v>
      </x:c>
      <x:c r="L47" s="17" t="str"/>
      <x:c r="M47" s="18"/>
      <x:c r="N47" s="18"/>
    </x:row>
    <x:row r="48" ht="76" customHeight="1">
      <x:c r="A48" s="12" t="str">
        <x:v>F02</x:v>
      </x:c>
      <x:c r="B48" s="11" t="str">
        <x:v>门派与势力</x:v>
      </x:c>
      <x:c r="C48" s="11" t="str">
        <x:v>门派差异与身份</x:v>
      </x:c>
      <x:c r="D48" s="11" t="str">
        <x:v>武学流派、价值观、服务、禁忌和晋升路线</x:v>
      </x:c>
      <x:c r="E48" s="11" t="str">
        <x:v>每个门派带来独特玩法或抉择，不仅数值换色</x:v>
      </x:c>
      <x:c r="F48" s="14" t="str">
        <x:v>F01,H01</x:v>
      </x:c>
      <x:c r="G48" s="15" t="str">
        <x:v>S1</x:v>
      </x:c>
      <x:c r="H48" s="15" t="str">
        <x:v>必需</x:v>
      </x:c>
      <x:c r="I48" s="11" t="str">
        <x:v>系统策划／叙事策划</x:v>
      </x:c>
      <x:c r="J48" s="11" t="str">
        <x:v>新增</x:v>
      </x:c>
      <x:c r="K48" s="17" t="str">
        <x:v>未开始</x:v>
      </x:c>
      <x:c r="L48" s="17" t="str"/>
      <x:c r="M48" s="18"/>
      <x:c r="N48" s="18"/>
    </x:row>
    <x:row r="49" ht="76" customHeight="1">
      <x:c r="A49" s="13" t="str">
        <x:v>F03</x:v>
      </x:c>
      <x:c r="B49" s="3" t="str">
        <x:v>门派与势力</x:v>
      </x:c>
      <x:c r="C49" s="3" t="str">
        <x:v>入门与试炼</x:v>
      </x:c>
      <x:c r="D49" s="3" t="str">
        <x:v>资格、介绍人、考核、拜师、初始身份和奖励</x:v>
      </x:c>
      <x:c r="E49" s="3" t="str">
        <x:v>非战斗与战斗入门路径按设计可完成，无重复授奖</x:v>
      </x:c>
      <x:c r="F49" s="6" t="str">
        <x:v>F02,C03,J01</x:v>
      </x:c>
      <x:c r="G49" s="16" t="str">
        <x:v>S1</x:v>
      </x:c>
      <x:c r="H49" s="16" t="str">
        <x:v>必需</x:v>
      </x:c>
      <x:c r="I49" s="3" t="str">
        <x:v>系统策划／叙事策划</x:v>
      </x:c>
      <x:c r="J49" s="3" t="str">
        <x:v>新增</x:v>
      </x:c>
      <x:c r="K49" s="17" t="str">
        <x:v>未开始</x:v>
      </x:c>
      <x:c r="L49" s="17" t="str"/>
      <x:c r="M49" s="18"/>
      <x:c r="N49" s="18"/>
    </x:row>
    <x:row r="50" ht="76" customHeight="1">
      <x:c r="A50" s="12" t="str">
        <x:v>F04</x:v>
      </x:c>
      <x:c r="B50" s="11" t="str">
        <x:v>门派与势力</x:v>
      </x:c>
      <x:c r="C50" s="11" t="str">
        <x:v>贡献与晋升</x:v>
      </x:c>
      <x:c r="D50" s="11" t="str">
        <x:v>贡献来源、支出、等级、权限和周转规则</x:v>
      </x:c>
      <x:c r="E50" s="11" t="str">
        <x:v>贡献不被同一行动无限刷取；晋升有具体权限变化</x:v>
      </x:c>
      <x:c r="F50" s="14" t="str">
        <x:v>F03,L02</x:v>
      </x:c>
      <x:c r="G50" s="15" t="str">
        <x:v>S2</x:v>
      </x:c>
      <x:c r="H50" s="15" t="str">
        <x:v>必需</x:v>
      </x:c>
      <x:c r="I50" s="11" t="str">
        <x:v>系统策划／叙事策划</x:v>
      </x:c>
      <x:c r="J50" s="11" t="str">
        <x:v>新增</x:v>
      </x:c>
      <x:c r="K50" s="17" t="str">
        <x:v>未开始</x:v>
      </x:c>
      <x:c r="L50" s="17" t="str"/>
      <x:c r="M50" s="18"/>
      <x:c r="N50" s="18"/>
    </x:row>
    <x:row r="51" ht="76" customHeight="1">
      <x:c r="A51" s="13" t="str">
        <x:v>F05</x:v>
      </x:c>
      <x:c r="B51" s="3" t="str">
        <x:v>门派与势力</x:v>
      </x:c>
      <x:c r="C51" s="3" t="str">
        <x:v>授艺与师承</x:v>
      </x:c>
      <x:c r="D51" s="3" t="str">
        <x:v>师傅、武学、关系、贡献和境界的组合条件</x:v>
      </x:c>
      <x:c r="E51" s="3" t="str">
        <x:v>UI准确解释缺少条件；师傅缺席时有合理处理</x:v>
      </x:c>
      <x:c r="F51" s="6" t="str">
        <x:v>F03,E04,H03</x:v>
      </x:c>
      <x:c r="G51" s="16" t="str">
        <x:v>S2</x:v>
      </x:c>
      <x:c r="H51" s="16" t="str">
        <x:v>必需</x:v>
      </x:c>
      <x:c r="I51" s="3" t="str">
        <x:v>系统策划／叙事策划</x:v>
      </x:c>
      <x:c r="J51" s="3" t="str">
        <x:v>新增</x:v>
      </x:c>
      <x:c r="K51" s="17" t="str">
        <x:v>未开始</x:v>
      </x:c>
      <x:c r="L51" s="17" t="str"/>
      <x:c r="M51" s="18"/>
      <x:c r="N51" s="18"/>
    </x:row>
    <x:row r="52" ht="76" customHeight="1">
      <x:c r="A52" s="12" t="str">
        <x:v>F06</x:v>
      </x:c>
      <x:c r="B52" s="11" t="str">
        <x:v>门派与势力</x:v>
      </x:c>
      <x:c r="C52" s="11" t="str">
        <x:v>门派职责与专属任务</x:v>
      </x:c>
      <x:c r="D52" s="11" t="str">
        <x:v>差事、教义冲突、禁地和门派主线模板</x:v>
      </x:c>
      <x:c r="E52" s="11" t="str">
        <x:v>任务结果影响声望、服务或后续门派状态</x:v>
      </x:c>
      <x:c r="F52" s="14" t="str">
        <x:v>F04,J03</x:v>
      </x:c>
      <x:c r="G52" s="15" t="str">
        <x:v>S2</x:v>
      </x:c>
      <x:c r="H52" s="15" t="str">
        <x:v>必需</x:v>
      </x:c>
      <x:c r="I52" s="11" t="str">
        <x:v>系统策划／叙事策划</x:v>
      </x:c>
      <x:c r="J52" s="11" t="str">
        <x:v>新增</x:v>
      </x:c>
      <x:c r="K52" s="17" t="str">
        <x:v>未开始</x:v>
      </x:c>
      <x:c r="L52" s="17" t="str"/>
      <x:c r="M52" s="18"/>
      <x:c r="N52" s="18"/>
    </x:row>
    <x:row r="53" ht="76" customHeight="1">
      <x:c r="A53" s="13" t="str">
        <x:v>F07</x:v>
      </x:c>
      <x:c r="B53" s="3" t="str">
        <x:v>门派与势力</x:v>
      </x:c>
      <x:c r="C53" s="3" t="str">
        <x:v>退门叛门与兼修</x:v>
      </x:c>
      <x:c r="D53" s="3" t="str">
        <x:v>退出、逐出、追责、秘籍归属和兼修限制</x:v>
      </x:c>
      <x:c r="E53" s="3" t="str">
        <x:v>已学武学、装备权限与敌对关系均有明确结算</x:v>
      </x:c>
      <x:c r="F53" s="6" t="str">
        <x:v>F04,F05,N03</x:v>
      </x:c>
      <x:c r="G53" s="16" t="str">
        <x:v>S2</x:v>
      </x:c>
      <x:c r="H53" s="16" t="str">
        <x:v>必需</x:v>
      </x:c>
      <x:c r="I53" s="3" t="str">
        <x:v>系统策划／叙事策划</x:v>
      </x:c>
      <x:c r="J53" s="3" t="str">
        <x:v>新增</x:v>
      </x:c>
      <x:c r="K53" s="17" t="str">
        <x:v>未开始</x:v>
      </x:c>
      <x:c r="L53" s="17" t="str"/>
      <x:c r="M53" s="18"/>
      <x:c r="N53" s="18"/>
    </x:row>
    <x:row r="54" ht="76" customHeight="1">
      <x:c r="A54" s="12" t="str">
        <x:v>F08</x:v>
      </x:c>
      <x:c r="B54" s="11" t="str">
        <x:v>门派与势力</x:v>
      </x:c>
      <x:c r="C54" s="11" t="str">
        <x:v>势力冲突与选择</x:v>
      </x:c>
      <x:c r="D54" s="11" t="str">
        <x:v>结盟、敌对、调停和阵营路线事件</x:v>
      </x:c>
      <x:c r="E54" s="11" t="str">
        <x:v>立场变化有局部影响与传播，不无条件全图敌对</x:v>
      </x:c>
      <x:c r="F54" s="14" t="str">
        <x:v>F01,D05,E03</x:v>
      </x:c>
      <x:c r="G54" s="15" t="str">
        <x:v>S2</x:v>
      </x:c>
      <x:c r="H54" s="15" t="str">
        <x:v>必需</x:v>
      </x:c>
      <x:c r="I54" s="11" t="str">
        <x:v>系统策划／叙事策划</x:v>
      </x:c>
      <x:c r="J54" s="11" t="str">
        <x:v>新增</x:v>
      </x:c>
      <x:c r="K54" s="17" t="str">
        <x:v>未开始</x:v>
      </x:c>
      <x:c r="L54" s="17" t="str"/>
      <x:c r="M54" s="18"/>
      <x:c r="N54" s="18"/>
    </x:row>
    <x:row r="55" ht="76" customHeight="1">
      <x:c r="A55" s="13" t="str">
        <x:v>F09</x:v>
      </x:c>
      <x:c r="B55" s="3" t="str">
        <x:v>门派与势力</x:v>
      </x:c>
      <x:c r="C55" s="3" t="str">
        <x:v>首发门派与势力内容</x:v>
      </x:c>
      <x:c r="D55" s="3" t="str">
        <x:v>四个可加入门派及两个其他主要势力的完整内容</x:v>
      </x:c>
      <x:c r="E55" s="3" t="str">
        <x:v>逐派验证入门、晋升、授艺、退出与结局</x:v>
      </x:c>
      <x:c r="F55" s="6" t="str">
        <x:v>F06,F07,F08,U04</x:v>
      </x:c>
      <x:c r="G55" s="16" t="str">
        <x:v>S3</x:v>
      </x:c>
      <x:c r="H55" s="16" t="str">
        <x:v>必需</x:v>
      </x:c>
      <x:c r="I55" s="3" t="str">
        <x:v>系统策划／叙事策划</x:v>
      </x:c>
      <x:c r="J55" s="3" t="str">
        <x:v>新增</x:v>
      </x:c>
      <x:c r="K55" s="17" t="str">
        <x:v>未开始</x:v>
      </x:c>
      <x:c r="L55" s="17" t="str"/>
      <x:c r="M55" s="18"/>
      <x:c r="N55" s="18"/>
    </x:row>
    <x:row r="56" ht="76" customHeight="1">
      <x:c r="A56" s="12" t="str">
        <x:v>G01</x:v>
      </x:c>
      <x:c r="B56" s="11" t="str">
        <x:v>队友与队伍</x:v>
      </x:c>
      <x:c r="C56" s="11" t="str">
        <x:v>队伍模型与角色所有权</x:v>
      </x:c>
      <x:c r="D56" s="11" t="str">
        <x:v>最多四人队伍、候补、唯一NPC身份与装备归属</x:v>
      </x:c>
      <x:c r="E56" s="11" t="str">
        <x:v>入队NPC不会同时留在原场景或复制随身物品</x:v>
      </x:c>
      <x:c r="F56" s="14" t="str">
        <x:v>E01,A04,T02</x:v>
      </x:c>
      <x:c r="G56" s="15" t="str">
        <x:v>S1</x:v>
      </x:c>
      <x:c r="H56" s="15" t="str">
        <x:v>必需</x:v>
      </x:c>
      <x:c r="I56" s="11" t="str">
        <x:v>战斗策划／角色程序</x:v>
      </x:c>
      <x:c r="J56" s="11" t="str">
        <x:v>重构</x:v>
      </x:c>
      <x:c r="K56" s="17" t="str">
        <x:v>未开始</x:v>
      </x:c>
      <x:c r="L56" s="17" t="str"/>
      <x:c r="M56" s="18"/>
      <x:c r="N56" s="18"/>
    </x:row>
    <x:row r="57" ht="76" customHeight="1">
      <x:c r="A57" s="13" t="str">
        <x:v>G02</x:v>
      </x:c>
      <x:c r="B57" s="3" t="str">
        <x:v>队友与队伍</x:v>
      </x:c>
      <x:c r="C57" s="3" t="str">
        <x:v>招募离队与重聚</x:v>
      </x:c>
      <x:c r="D57" s="3" t="str">
        <x:v>招募条件、主动离队、暂离、回归与所在位置</x:v>
      </x:c>
      <x:c r="E57" s="3" t="str">
        <x:v>任务中离队、满队邀请和读档均有确定结果</x:v>
      </x:c>
      <x:c r="F57" s="6" t="str">
        <x:v>G01,E02,C03</x:v>
      </x:c>
      <x:c r="G57" s="16" t="str">
        <x:v>S1</x:v>
      </x:c>
      <x:c r="H57" s="16" t="str">
        <x:v>必需</x:v>
      </x:c>
      <x:c r="I57" s="3" t="str">
        <x:v>战斗策划／角色程序</x:v>
      </x:c>
      <x:c r="J57" s="3" t="str">
        <x:v>重构</x:v>
      </x:c>
      <x:c r="K57" s="17" t="str">
        <x:v>未开始</x:v>
      </x:c>
      <x:c r="L57" s="17" t="str"/>
      <x:c r="M57" s="18"/>
      <x:c r="N57" s="18"/>
    </x:row>
    <x:row r="58" ht="76" customHeight="1">
      <x:c r="A58" s="12" t="str">
        <x:v>G03</x:v>
      </x:c>
      <x:c r="B58" s="11" t="str">
        <x:v>队友与队伍</x:v>
      </x:c>
      <x:c r="C58" s="11" t="str">
        <x:v>同伴操控与战斗接入</x:v>
      </x:c>
      <x:c r="D58" s="11" t="str">
        <x:v>每位队员独立属性、技能、行动和受伤状态</x:v>
      </x:c>
      <x:c r="E58" s="11" t="str">
        <x:v>四名队员都能完整行动，不只提供一次辅助</x:v>
      </x:c>
      <x:c r="F58" s="14" t="str">
        <x:v>G01,I02,H02</x:v>
      </x:c>
      <x:c r="G58" s="15" t="str">
        <x:v>S1</x:v>
      </x:c>
      <x:c r="H58" s="15" t="str">
        <x:v>必需</x:v>
      </x:c>
      <x:c r="I58" s="11" t="str">
        <x:v>战斗策划／角色程序</x:v>
      </x:c>
      <x:c r="J58" s="11" t="str">
        <x:v>重构</x:v>
      </x:c>
      <x:c r="K58" s="17" t="str">
        <x:v>未开始</x:v>
      </x:c>
      <x:c r="L58" s="17" t="str"/>
      <x:c r="M58" s="18"/>
      <x:c r="N58" s="18"/>
    </x:row>
    <x:row r="59" ht="76" customHeight="1">
      <x:c r="A59" s="13" t="str">
        <x:v>G04</x:v>
      </x:c>
      <x:c r="B59" s="3" t="str">
        <x:v>队友与队伍</x:v>
      </x:c>
      <x:c r="C59" s="3" t="str">
        <x:v>队友目标与冲突</x:v>
      </x:c>
      <x:c r="D59" s="3" t="str">
        <x:v>同伴立场、底线、争执、劝解和信任事件</x:v>
      </x:c>
      <x:c r="E59" s="3" t="str">
        <x:v>冲突有征兆与处理窗口，不无提示移除关键战力</x:v>
      </x:c>
      <x:c r="F59" s="6" t="str">
        <x:v>G02,E03,J03</x:v>
      </x:c>
      <x:c r="G59" s="16" t="str">
        <x:v>S2</x:v>
      </x:c>
      <x:c r="H59" s="16" t="str">
        <x:v>必需</x:v>
      </x:c>
      <x:c r="I59" s="3" t="str">
        <x:v>战斗策划／角色程序</x:v>
      </x:c>
      <x:c r="J59" s="3" t="str">
        <x:v>重构</x:v>
      </x:c>
      <x:c r="K59" s="17" t="str">
        <x:v>未开始</x:v>
      </x:c>
      <x:c r="L59" s="17" t="str"/>
      <x:c r="M59" s="18"/>
      <x:c r="N59" s="18"/>
    </x:row>
    <x:row r="60" ht="76" customHeight="1">
      <x:c r="A60" s="12" t="str">
        <x:v>G05</x:v>
      </x:c>
      <x:c r="B60" s="11" t="str">
        <x:v>队友与队伍</x:v>
      </x:c>
      <x:c r="C60" s="11" t="str">
        <x:v>营地与休整</x:v>
      </x:c>
      <x:c r="D60" s="11" t="str">
        <x:v>休息、治疗、队伍整备、营地对话和存取入口</x:v>
      </x:c>
      <x:c r="E60" s="11" t="str">
        <x:v>休整扣时、恢复、事件和受伤状态一起正确结算</x:v>
      </x:c>
      <x:c r="F60" s="14" t="str">
        <x:v>G02,D02,R03</x:v>
      </x:c>
      <x:c r="G60" s="15" t="str">
        <x:v>S2</x:v>
      </x:c>
      <x:c r="H60" s="15" t="str">
        <x:v>必需</x:v>
      </x:c>
      <x:c r="I60" s="11" t="str">
        <x:v>战斗策划／角色程序</x:v>
      </x:c>
      <x:c r="J60" s="11" t="str">
        <x:v>重构</x:v>
      </x:c>
      <x:c r="K60" s="17" t="str">
        <x:v>未开始</x:v>
      </x:c>
      <x:c r="L60" s="17" t="str"/>
      <x:c r="M60" s="18"/>
      <x:c r="N60" s="18"/>
    </x:row>
    <x:row r="61" ht="76" customHeight="1">
      <x:c r="A61" s="13" t="str">
        <x:v>G06</x:v>
      </x:c>
      <x:c r="B61" s="3" t="str">
        <x:v>队友与队伍</x:v>
      </x:c>
      <x:c r="C61" s="3" t="str">
        <x:v>同伴剧情与结局</x:v>
      </x:c>
      <x:c r="D61" s="3" t="str">
        <x:v>八位同伴的个人线、队内互动和结局条件</x:v>
      </x:c>
      <x:c r="E61" s="3" t="str">
        <x:v>缺席、离队、敌对与死亡时剧情能收束</x:v>
      </x:c>
      <x:c r="F61" s="6" t="str">
        <x:v>G04,J05,J08</x:v>
      </x:c>
      <x:c r="G61" s="16" t="str">
        <x:v>S3</x:v>
      </x:c>
      <x:c r="H61" s="16" t="str">
        <x:v>必需</x:v>
      </x:c>
      <x:c r="I61" s="3" t="str">
        <x:v>战斗策划／角色程序</x:v>
      </x:c>
      <x:c r="J61" s="3" t="str">
        <x:v>重构</x:v>
      </x:c>
      <x:c r="K61" s="17" t="str">
        <x:v>未开始</x:v>
      </x:c>
      <x:c r="L61" s="17" t="str"/>
      <x:c r="M61" s="18"/>
      <x:c r="N61" s="18"/>
    </x:row>
    <x:row r="62" ht="76" customHeight="1">
      <x:c r="A62" s="12" t="str">
        <x:v>G07</x:v>
      </x:c>
      <x:c r="B62" s="11" t="str">
        <x:v>队友与队伍</x:v>
      </x:c>
      <x:c r="C62" s="11" t="str">
        <x:v>队伍行走与编队</x:v>
      </x:c>
      <x:c r="D62" s="11" t="str">
        <x:v>跟随、集合、窄路处理、队员选择和初始布阵</x:v>
      </x:c>
      <x:c r="E62" s="11" t="str">
        <x:v>场景切换无丢人；战场人数与探索队伍一致</x:v>
      </x:c>
      <x:c r="F62" s="14" t="str">
        <x:v>G01,B03,I03</x:v>
      </x:c>
      <x:c r="G62" s="15" t="str">
        <x:v>S2</x:v>
      </x:c>
      <x:c r="H62" s="15" t="str">
        <x:v>必需</x:v>
      </x:c>
      <x:c r="I62" s="11" t="str">
        <x:v>战斗策划／角色程序</x:v>
      </x:c>
      <x:c r="J62" s="11" t="str">
        <x:v>重构</x:v>
      </x:c>
      <x:c r="K62" s="17" t="str">
        <x:v>未开始</x:v>
      </x:c>
      <x:c r="L62" s="17" t="str"/>
      <x:c r="M62" s="18"/>
      <x:c r="N62" s="18"/>
    </x:row>
    <x:row r="63" ht="76" customHeight="1">
      <x:c r="A63" s="13" t="str">
        <x:v>G08</x:v>
      </x:c>
      <x:c r="B63" s="3" t="str">
        <x:v>队友与队伍</x:v>
      </x:c>
      <x:c r="C63" s="3" t="str">
        <x:v>队友全流程回归</x:v>
      </x:c>
      <x:c r="D63" s="3" t="str">
        <x:v>独行到满队、装备调整、离队、再入队存档样本</x:v>
      </x:c>
      <x:c r="E63" s="3" t="str">
        <x:v>人物、物品、关系、任务与战斗状态没有分叉</x:v>
      </x:c>
      <x:c r="F63" s="6" t="str">
        <x:v>G03,G05,G07,V03</x:v>
      </x:c>
      <x:c r="G63" s="16" t="str">
        <x:v>S3</x:v>
      </x:c>
      <x:c r="H63" s="16" t="str">
        <x:v>必需</x:v>
      </x:c>
      <x:c r="I63" s="3" t="str">
        <x:v>战斗策划／角色程序</x:v>
      </x:c>
      <x:c r="J63" s="3" t="str">
        <x:v>重构</x:v>
      </x:c>
      <x:c r="K63" s="17" t="str">
        <x:v>未开始</x:v>
      </x:c>
      <x:c r="L63" s="17" t="str"/>
      <x:c r="M63" s="18"/>
      <x:c r="N63" s="18"/>
    </x:row>
    <x:row r="64" ht="76" customHeight="1">
      <x:c r="A64" s="12" t="str">
        <x:v>H01</x:v>
      </x:c>
      <x:c r="B64" s="11" t="str">
        <x:v>成长与武学</x:v>
      </x:c>
      <x:c r="C64" s="11" t="str">
        <x:v>武学分类与构筑框架</x:v>
      </x:c>
      <x:c r="D64" s="11" t="str">
        <x:v>招式、心法、轻功、锻体及兵器标签和互斥规则</x:v>
      </x:c>
      <x:c r="E64" s="11" t="str">
        <x:v>每类承担不同决策；初步构筑有强项和代价</x:v>
      </x:c>
      <x:c r="F64" s="14" t="str">
        <x:v>A04,T01</x:v>
      </x:c>
      <x:c r="G64" s="15" t="str">
        <x:v>S1</x:v>
      </x:c>
      <x:c r="H64" s="15" t="str">
        <x:v>必需</x:v>
      </x:c>
      <x:c r="I64" s="11" t="str">
        <x:v>数值策划／战斗程序</x:v>
      </x:c>
      <x:c r="J64" s="11" t="str">
        <x:v>扩展</x:v>
      </x:c>
      <x:c r="K64" s="17" t="str">
        <x:v>未开始</x:v>
      </x:c>
      <x:c r="L64" s="17" t="str"/>
      <x:c r="M64" s="18"/>
      <x:c r="N64" s="18"/>
    </x:row>
    <x:row r="65" ht="76" customHeight="1">
      <x:c r="A65" s="13" t="str">
        <x:v>H02</x:v>
      </x:c>
      <x:c r="B65" s="3" t="str">
        <x:v>成长与武学</x:v>
      </x:c>
      <x:c r="C65" s="3" t="str">
        <x:v>角色属性与数值管线</x:v>
      </x:c>
      <x:c r="D65" s="3" t="str">
        <x:v>基础属性、派生属性、装备、状态和武学修正顺序</x:v>
      </x:c>
      <x:c r="E65" s="3" t="str">
        <x:v>UI与战斗共用计算，能追溯属性来源</x:v>
      </x:c>
      <x:c r="F65" s="6" t="str">
        <x:v>H01,T02</x:v>
      </x:c>
      <x:c r="G65" s="16" t="str">
        <x:v>S1</x:v>
      </x:c>
      <x:c r="H65" s="16" t="str">
        <x:v>必需</x:v>
      </x:c>
      <x:c r="I65" s="3" t="str">
        <x:v>数值策划／战斗程序</x:v>
      </x:c>
      <x:c r="J65" s="3" t="str">
        <x:v>扩展</x:v>
      </x:c>
      <x:c r="K65" s="17" t="str">
        <x:v>未开始</x:v>
      </x:c>
      <x:c r="L65" s="17" t="str"/>
      <x:c r="M65" s="18"/>
      <x:c r="N65" s="18"/>
    </x:row>
    <x:row r="66" ht="76" customHeight="1">
      <x:c r="A66" s="12" t="str">
        <x:v>H03</x:v>
      </x:c>
      <x:c r="B66" s="11" t="str">
        <x:v>成长与武学</x:v>
      </x:c>
      <x:c r="C66" s="11" t="str">
        <x:v>习得与修炼</x:v>
      </x:c>
      <x:c r="D66" s="11" t="str">
        <x:v>秘籍、师承、见闻、练功、熟练度和突破条件</x:v>
      </x:c>
      <x:c r="E66" s="11" t="str">
        <x:v>所有来源调用统一授予逻辑，失败不吞材料</x:v>
      </x:c>
      <x:c r="F66" s="14" t="str">
        <x:v>H01,C03</x:v>
      </x:c>
      <x:c r="G66" s="15" t="str">
        <x:v>S1</x:v>
      </x:c>
      <x:c r="H66" s="15" t="str">
        <x:v>必需</x:v>
      </x:c>
      <x:c r="I66" s="11" t="str">
        <x:v>数值策划／战斗程序</x:v>
      </x:c>
      <x:c r="J66" s="11" t="str">
        <x:v>扩展</x:v>
      </x:c>
      <x:c r="K66" s="17" t="str">
        <x:v>未开始</x:v>
      </x:c>
      <x:c r="L66" s="17" t="str"/>
      <x:c r="M66" s="18"/>
      <x:c r="N66" s="18"/>
    </x:row>
    <x:row r="67" ht="76" customHeight="1">
      <x:c r="A67" s="13" t="str">
        <x:v>H04</x:v>
      </x:c>
      <x:c r="B67" s="3" t="str">
        <x:v>成长与武学</x:v>
      </x:c>
      <x:c r="C67" s="3" t="str">
        <x:v>内功经脉与资源</x:v>
      </x:c>
      <x:c r="D67" s="3" t="str">
        <x:v>气血、内力、经脉分支及内功切换规则</x:v>
      </x:c>
      <x:c r="E67" s="3" t="str">
        <x:v>恢复、上限、封穴和转换无无限循环构筑</x:v>
      </x:c>
      <x:c r="F67" s="6" t="str">
        <x:v>H02,H03</x:v>
      </x:c>
      <x:c r="G67" s="16" t="str">
        <x:v>S2</x:v>
      </x:c>
      <x:c r="H67" s="16" t="str">
        <x:v>必需</x:v>
      </x:c>
      <x:c r="I67" s="3" t="str">
        <x:v>数值策划／战斗程序</x:v>
      </x:c>
      <x:c r="J67" s="3" t="str">
        <x:v>扩展</x:v>
      </x:c>
      <x:c r="K67" s="17" t="str">
        <x:v>未开始</x:v>
      </x:c>
      <x:c r="L67" s="17" t="str"/>
      <x:c r="M67" s="18"/>
      <x:c r="N67" s="18"/>
    </x:row>
    <x:row r="68" ht="76" customHeight="1">
      <x:c r="A68" s="12" t="str">
        <x:v>H05</x:v>
      </x:c>
      <x:c r="B68" s="11" t="str">
        <x:v>成长与武学</x:v>
      </x:c>
      <x:c r="C68" s="11" t="str">
        <x:v>招式与连携规则</x:v>
      </x:c>
      <x:c r="D68" s="11" t="str">
        <x:v>范围、消耗、冷却、武器要求和队伍连携数据</x:v>
      </x:c>
      <x:c r="E68" s="11" t="str">
        <x:v>技能描述与实际目标、伤害和状态一致</x:v>
      </x:c>
      <x:c r="F68" s="14" t="str">
        <x:v>H02,I02</x:v>
      </x:c>
      <x:c r="G68" s="15" t="str">
        <x:v>S1</x:v>
      </x:c>
      <x:c r="H68" s="15" t="str">
        <x:v>必需</x:v>
      </x:c>
      <x:c r="I68" s="11" t="str">
        <x:v>数值策划／战斗程序</x:v>
      </x:c>
      <x:c r="J68" s="11" t="str">
        <x:v>扩展</x:v>
      </x:c>
      <x:c r="K68" s="17" t="str">
        <x:v>未开始</x:v>
      </x:c>
      <x:c r="L68" s="17" t="str"/>
      <x:c r="M68" s="18"/>
      <x:c r="N68" s="18"/>
    </x:row>
    <x:row r="69" ht="76" customHeight="1">
      <x:c r="A69" s="13" t="str">
        <x:v>H06</x:v>
      </x:c>
      <x:c r="B69" s="3" t="str">
        <x:v>成长与武学</x:v>
      </x:c>
      <x:c r="C69" s="3" t="str">
        <x:v>轻功与行动方式</x:v>
      </x:c>
      <x:c r="D69" s="3" t="str">
        <x:v>闪避、位移、越障及探索门槛</x:v>
      </x:c>
      <x:c r="E69" s="3" t="str">
        <x:v>战斗位移与地图越障边界清楚，不穿非法地形</x:v>
      </x:c>
      <x:c r="F69" s="6" t="str">
        <x:v>H02,B03,I03</x:v>
      </x:c>
      <x:c r="G69" s="16" t="str">
        <x:v>S2</x:v>
      </x:c>
      <x:c r="H69" s="16" t="str">
        <x:v>必需</x:v>
      </x:c>
      <x:c r="I69" s="3" t="str">
        <x:v>数值策划／战斗程序</x:v>
      </x:c>
      <x:c r="J69" s="3" t="str">
        <x:v>扩展</x:v>
      </x:c>
      <x:c r="K69" s="17" t="str">
        <x:v>未开始</x:v>
      </x:c>
      <x:c r="L69" s="17" t="str"/>
      <x:c r="M69" s="18"/>
      <x:c r="N69" s="18"/>
    </x:row>
    <x:row r="70" ht="76" customHeight="1">
      <x:c r="A70" s="12" t="str">
        <x:v>H07</x:v>
      </x:c>
      <x:c r="B70" s="11" t="str">
        <x:v>成长与武学</x:v>
      </x:c>
      <x:c r="C70" s="11" t="str">
        <x:v>武学对探索的影响</x:v>
      </x:c>
      <x:c r="D70" s="11" t="str">
        <x:v>疗伤、感知、破障、隐藏路线和检定接口</x:v>
      </x:c>
      <x:c r="E70" s="11" t="str">
        <x:v>构筑至少在战斗外创造一项可见选择</x:v>
      </x:c>
      <x:c r="F70" s="14" t="str">
        <x:v>H03,C02</x:v>
      </x:c>
      <x:c r="G70" s="15" t="str">
        <x:v>S1</x:v>
      </x:c>
      <x:c r="H70" s="15" t="str">
        <x:v>必需</x:v>
      </x:c>
      <x:c r="I70" s="11" t="str">
        <x:v>数值策划／战斗程序</x:v>
      </x:c>
      <x:c r="J70" s="11" t="str">
        <x:v>扩展</x:v>
      </x:c>
      <x:c r="K70" s="17" t="str">
        <x:v>未开始</x:v>
      </x:c>
      <x:c r="L70" s="17" t="str"/>
      <x:c r="M70" s="18"/>
      <x:c r="N70" s="18"/>
    </x:row>
    <x:row r="71" ht="76" customHeight="1">
      <x:c r="A71" s="13" t="str">
        <x:v>H08</x:v>
      </x:c>
      <x:c r="B71" s="3" t="str">
        <x:v>成长与武学</x:v>
      </x:c>
      <x:c r="C71" s="3" t="str">
        <x:v>成长速度与重修</x:v>
      </x:c>
      <x:c r="D71" s="3" t="str">
        <x:v>经验来源、境界曲线、洗点、重复训练与落后追赶</x:v>
      </x:c>
      <x:c r="E71" s="3" t="str">
        <x:v>不强迫挂机刷取；错误构筑有可理解的修复途径</x:v>
      </x:c>
      <x:c r="F71" s="6" t="str">
        <x:v>H03,H04,L02</x:v>
      </x:c>
      <x:c r="G71" s="16" t="str">
        <x:v>S2</x:v>
      </x:c>
      <x:c r="H71" s="16" t="str">
        <x:v>必需</x:v>
      </x:c>
      <x:c r="I71" s="3" t="str">
        <x:v>数值策划／战斗程序</x:v>
      </x:c>
      <x:c r="J71" s="3" t="str">
        <x:v>扩展</x:v>
      </x:c>
      <x:c r="K71" s="17" t="str">
        <x:v>未开始</x:v>
      </x:c>
      <x:c r="L71" s="17" t="str"/>
      <x:c r="M71" s="18"/>
      <x:c r="N71" s="18"/>
    </x:row>
    <x:row r="72" ht="76" customHeight="1">
      <x:c r="A72" s="12" t="str">
        <x:v>H09</x:v>
      </x:c>
      <x:c r="B72" s="11" t="str">
        <x:v>成长与武学</x:v>
      </x:c>
      <x:c r="C72" s="11" t="str">
        <x:v>首发武学数据量产</x:v>
      </x:c>
      <x:c r="D72" s="11" t="str">
        <x:v>六十条武学及说明、图标、表现引用和测试组合</x:v>
      </x:c>
      <x:c r="E72" s="11" t="str">
        <x:v>每条有获得途径、独特用途、表现与回归案例</x:v>
      </x:c>
      <x:c r="F72" s="14" t="str">
        <x:v>H05,H06,H08,U05</x:v>
      </x:c>
      <x:c r="G72" s="15" t="str">
        <x:v>S3</x:v>
      </x:c>
      <x:c r="H72" s="15" t="str">
        <x:v>必需</x:v>
      </x:c>
      <x:c r="I72" s="11" t="str">
        <x:v>数值策划／战斗程序</x:v>
      </x:c>
      <x:c r="J72" s="11" t="str">
        <x:v>扩展</x:v>
      </x:c>
      <x:c r="K72" s="17" t="str">
        <x:v>未开始</x:v>
      </x:c>
      <x:c r="L72" s="17" t="str"/>
      <x:c r="M72" s="18"/>
      <x:c r="N72" s="18"/>
    </x:row>
    <x:row r="73" ht="76" customHeight="1">
      <x:c r="A73" s="13" t="str">
        <x:v>I01</x:v>
      </x:c>
      <x:c r="B73" s="3" t="str">
        <x:v>战斗</x:v>
      </x:c>
      <x:c r="C73" s="3" t="str">
        <x:v>主战斗规则与输赢边界</x:v>
      </x:c>
      <x:c r="D73" s="3" t="str">
        <x:v>行动资源、回合、退场、投降、逃跑和战斗类型</x:v>
      </x:c>
      <x:c r="E73" s="3" t="str">
        <x:v>切磋、缉拿和生死战有不同结算</x:v>
      </x:c>
      <x:c r="F73" s="6" t="str">
        <x:v>A04,T02</x:v>
      </x:c>
      <x:c r="G73" s="16" t="str">
        <x:v>S1</x:v>
      </x:c>
      <x:c r="H73" s="16" t="str">
        <x:v>必需</x:v>
      </x:c>
      <x:c r="I73" s="3" t="str">
        <x:v>战斗策划／程序</x:v>
      </x:c>
      <x:c r="J73" s="3" t="str">
        <x:v>重构</x:v>
      </x:c>
      <x:c r="K73" s="17" t="str">
        <x:v>未开始</x:v>
      </x:c>
      <x:c r="L73" s="17" t="str"/>
      <x:c r="M73" s="18"/>
      <x:c r="N73" s="18"/>
    </x:row>
    <x:row r="74" ht="76" customHeight="1">
      <x:c r="A74" s="12" t="str">
        <x:v>I02</x:v>
      </x:c>
      <x:c r="B74" s="11" t="str">
        <x:v>战斗</x:v>
      </x:c>
      <x:c r="C74" s="11" t="str">
        <x:v>独立角色与技能执行</x:v>
      </x:c>
      <x:c r="D74" s="11" t="str">
        <x:v>队员、敌人、状态、技能目标和原子行动接口</x:v>
      </x:c>
      <x:c r="E74" s="11" t="str">
        <x:v>同一输入和随机种子可重放并得到一致结算</x:v>
      </x:c>
      <x:c r="F74" s="14" t="str">
        <x:v>I01,H02,T04</x:v>
      </x:c>
      <x:c r="G74" s="15" t="str">
        <x:v>S1</x:v>
      </x:c>
      <x:c r="H74" s="15" t="str">
        <x:v>必需</x:v>
      </x:c>
      <x:c r="I74" s="11" t="str">
        <x:v>战斗策划／程序</x:v>
      </x:c>
      <x:c r="J74" s="11" t="str">
        <x:v>重构</x:v>
      </x:c>
      <x:c r="K74" s="17" t="str">
        <x:v>未开始</x:v>
      </x:c>
      <x:c r="L74" s="17" t="str"/>
      <x:c r="M74" s="18"/>
      <x:c r="N74" s="18"/>
    </x:row>
    <x:row r="75" ht="76" customHeight="1">
      <x:c r="A75" s="13" t="str">
        <x:v>I03</x:v>
      </x:c>
      <x:c r="B75" s="3" t="str">
        <x:v>战斗</x:v>
      </x:c>
      <x:c r="C75" s="3" t="str">
        <x:v>战场网格与空间规则</x:v>
      </x:c>
      <x:c r="D75" s="3" t="str">
        <x:v>地形、阻挡、占位、路径、射程、视线和入场点</x:v>
      </x:c>
      <x:c r="E75" s="3" t="str">
        <x:v>预览和结算路径一致；无非法重叠和穿障</x:v>
      </x:c>
      <x:c r="F75" s="6" t="str">
        <x:v>I01,B02</x:v>
      </x:c>
      <x:c r="G75" s="16" t="str">
        <x:v>S1</x:v>
      </x:c>
      <x:c r="H75" s="16" t="str">
        <x:v>必需</x:v>
      </x:c>
      <x:c r="I75" s="3" t="str">
        <x:v>战斗策划／程序</x:v>
      </x:c>
      <x:c r="J75" s="3" t="str">
        <x:v>重构</x:v>
      </x:c>
      <x:c r="K75" s="17" t="str">
        <x:v>未开始</x:v>
      </x:c>
      <x:c r="L75" s="17" t="str"/>
      <x:c r="M75" s="18"/>
      <x:c r="N75" s="18"/>
    </x:row>
    <x:row r="76" ht="76" customHeight="1">
      <x:c r="A76" s="12" t="str">
        <x:v>I04</x:v>
      </x:c>
      <x:c r="B76" s="11" t="str">
        <x:v>战斗</x:v>
      </x:c>
      <x:c r="C76" s="11" t="str">
        <x:v>行动预览与信息解释</x:v>
      </x:c>
      <x:c r="D76" s="11" t="str">
        <x:v>移动范围、命中或结果区间、克制、队列和战斗日志</x:v>
      </x:c>
      <x:c r="E76" s="11" t="str">
        <x:v>信息足以判断行动风险，隐藏信息不误显示</x:v>
      </x:c>
      <x:c r="F76" s="14" t="str">
        <x:v>I02,I03,R01</x:v>
      </x:c>
      <x:c r="G76" s="15" t="str">
        <x:v>S1</x:v>
      </x:c>
      <x:c r="H76" s="15" t="str">
        <x:v>必需</x:v>
      </x:c>
      <x:c r="I76" s="11" t="str">
        <x:v>战斗策划／程序</x:v>
      </x:c>
      <x:c r="J76" s="11" t="str">
        <x:v>重构</x:v>
      </x:c>
      <x:c r="K76" s="17" t="str">
        <x:v>未开始</x:v>
      </x:c>
      <x:c r="L76" s="17" t="str"/>
      <x:c r="M76" s="18"/>
      <x:c r="N76" s="18"/>
    </x:row>
    <x:row r="77" ht="76" customHeight="1">
      <x:c r="A77" s="13" t="str">
        <x:v>I05</x:v>
      </x:c>
      <x:c r="B77" s="3" t="str">
        <x:v>战斗</x:v>
      </x:c>
      <x:c r="C77" s="3" t="str">
        <x:v>敌方AI与敌人定位</x:v>
      </x:c>
      <x:c r="D77" s="3" t="str">
        <x:v>冲锋、控制、远程、辅助及目标评分策略</x:v>
      </x:c>
      <x:c r="E77" s="3" t="str">
        <x:v>各类型有可识别行为，不靠单纯属性堆高区分</x:v>
      </x:c>
      <x:c r="F77" s="6" t="str">
        <x:v>I02,I03</x:v>
      </x:c>
      <x:c r="G77" s="16" t="str">
        <x:v>S1</x:v>
      </x:c>
      <x:c r="H77" s="16" t="str">
        <x:v>必需</x:v>
      </x:c>
      <x:c r="I77" s="3" t="str">
        <x:v>战斗策划／程序</x:v>
      </x:c>
      <x:c r="J77" s="3" t="str">
        <x:v>重构</x:v>
      </x:c>
      <x:c r="K77" s="17" t="str">
        <x:v>未开始</x:v>
      </x:c>
      <x:c r="L77" s="17" t="str"/>
      <x:c r="M77" s="18"/>
      <x:c r="N77" s="18"/>
    </x:row>
    <x:row r="78" ht="76" customHeight="1">
      <x:c r="A78" s="12" t="str">
        <x:v>I06</x:v>
      </x:c>
      <x:c r="B78" s="11" t="str">
        <x:v>战斗</x:v>
      </x:c>
      <x:c r="C78" s="11" t="str">
        <x:v>场景进战与战后返回</x:v>
      </x:c>
      <x:c r="D78" s="11" t="str">
        <x:v>探索转战斗、布阵、援军、撤退和原地返回</x:v>
      </x:c>
      <x:c r="E78" s="11" t="str">
        <x:v>NPC位置、事件状态与伤亡结果回写世界一次</x:v>
      </x:c>
      <x:c r="F78" s="14" t="str">
        <x:v>I02,I03,B06</x:v>
      </x:c>
      <x:c r="G78" s="15" t="str">
        <x:v>S1</x:v>
      </x:c>
      <x:c r="H78" s="15" t="str">
        <x:v>必需</x:v>
      </x:c>
      <x:c r="I78" s="11" t="str">
        <x:v>战斗策划／程序</x:v>
      </x:c>
      <x:c r="J78" s="11" t="str">
        <x:v>重构</x:v>
      </x:c>
      <x:c r="K78" s="17" t="str">
        <x:v>未开始</x:v>
      </x:c>
      <x:c r="L78" s="17" t="str"/>
      <x:c r="M78" s="18"/>
      <x:c r="N78" s="18"/>
    </x:row>
    <x:row r="79" ht="76" customHeight="1">
      <x:c r="A79" s="13" t="str">
        <x:v>I07</x:v>
      </x:c>
      <x:c r="B79" s="3" t="str">
        <x:v>战斗</x:v>
      </x:c>
      <x:c r="C79" s="3" t="str">
        <x:v>伤势与失败代价</x:v>
      </x:c>
      <x:c r="D79" s="3" t="str">
        <x:v>轻伤、重伤、俘虏、损失和可恢复失败流程</x:v>
      </x:c>
      <x:c r="E79" s="3" t="str">
        <x:v>非生死战失败可继续游戏，关键风险提前提示</x:v>
      </x:c>
      <x:c r="F79" s="6" t="str">
        <x:v>I01,G01,L01</x:v>
      </x:c>
      <x:c r="G79" s="16" t="str">
        <x:v>S1</x:v>
      </x:c>
      <x:c r="H79" s="16" t="str">
        <x:v>必需</x:v>
      </x:c>
      <x:c r="I79" s="3" t="str">
        <x:v>战斗策划／程序</x:v>
      </x:c>
      <x:c r="J79" s="3" t="str">
        <x:v>重构</x:v>
      </x:c>
      <x:c r="K79" s="17" t="str">
        <x:v>未开始</x:v>
      </x:c>
      <x:c r="L79" s="17" t="str"/>
      <x:c r="M79" s="18"/>
      <x:c r="N79" s="18"/>
    </x:row>
    <x:row r="80" ht="76" customHeight="1">
      <x:c r="A80" s="12" t="str">
        <x:v>I08</x:v>
      </x:c>
      <x:c r="B80" s="11" t="str">
        <x:v>战斗</x:v>
      </x:c>
      <x:c r="C80" s="11" t="str">
        <x:v>战斗地形与交互物</x:v>
      </x:c>
      <x:c r="D80" s="11" t="str">
        <x:v>高低差简化、掩体、机关、危险区和可破坏物</x:v>
      </x:c>
      <x:c r="E80" s="11" t="str">
        <x:v>每种地形实际影响选择且不制造永久卡局</x:v>
      </x:c>
      <x:c r="F80" s="14" t="str">
        <x:v>I03,C01</x:v>
      </x:c>
      <x:c r="G80" s="15" t="str">
        <x:v>S2</x:v>
      </x:c>
      <x:c r="H80" s="15" t="str">
        <x:v>必需</x:v>
      </x:c>
      <x:c r="I80" s="11" t="str">
        <x:v>战斗策划／程序</x:v>
      </x:c>
      <x:c r="J80" s="11" t="str">
        <x:v>重构</x:v>
      </x:c>
      <x:c r="K80" s="17" t="str">
        <x:v>未开始</x:v>
      </x:c>
      <x:c r="L80" s="17" t="str"/>
      <x:c r="M80" s="18"/>
      <x:c r="N80" s="18"/>
    </x:row>
    <x:row r="81" ht="76" customHeight="1">
      <x:c r="A81" s="13" t="str">
        <x:v>I09</x:v>
      </x:c>
      <x:c r="B81" s="3" t="str">
        <x:v>战斗</x:v>
      </x:c>
      <x:c r="C81" s="3" t="str">
        <x:v>控制驱散与连携平衡</x:v>
      </x:c>
      <x:c r="D81" s="3" t="str">
        <x:v>异常状态叠加、免疫、反制、打断和组合上限</x:v>
      </x:c>
      <x:c r="E81" s="3" t="str">
        <x:v>不存在无需成本的永久控制或无限行动循环</x:v>
      </x:c>
      <x:c r="F81" s="6" t="str">
        <x:v>I02,H05</x:v>
      </x:c>
      <x:c r="G81" s="16" t="str">
        <x:v>S2</x:v>
      </x:c>
      <x:c r="H81" s="16" t="str">
        <x:v>必需</x:v>
      </x:c>
      <x:c r="I81" s="3" t="str">
        <x:v>战斗策划／程序</x:v>
      </x:c>
      <x:c r="J81" s="3" t="str">
        <x:v>重构</x:v>
      </x:c>
      <x:c r="K81" s="17" t="str">
        <x:v>未开始</x:v>
      </x:c>
      <x:c r="L81" s="17" t="str"/>
      <x:c r="M81" s="18"/>
      <x:c r="N81" s="18"/>
    </x:row>
    <x:row r="82" ht="76" customHeight="1">
      <x:c r="A82" s="12" t="str">
        <x:v>I10</x:v>
      </x:c>
      <x:c r="B82" s="11" t="str">
        <x:v>战斗</x:v>
      </x:c>
      <x:c r="C82" s="11" t="str">
        <x:v>精英与首领机制</x:v>
      </x:c>
      <x:c r="D82" s="11" t="str">
        <x:v>十二种常规敌人原型与六个首领的行为包</x:v>
      </x:c>
      <x:c r="E82" s="11" t="str">
        <x:v>首领有预告、应对和恢复窗口，读招不靠试错背板</x:v>
      </x:c>
      <x:c r="F82" s="14" t="str">
        <x:v>I05,I08,I09,Q02</x:v>
      </x:c>
      <x:c r="G82" s="15" t="str">
        <x:v>S3</x:v>
      </x:c>
      <x:c r="H82" s="15" t="str">
        <x:v>必需</x:v>
      </x:c>
      <x:c r="I82" s="11" t="str">
        <x:v>战斗策划／程序</x:v>
      </x:c>
      <x:c r="J82" s="11" t="str">
        <x:v>重构</x:v>
      </x:c>
      <x:c r="K82" s="17" t="str">
        <x:v>未开始</x:v>
      </x:c>
      <x:c r="L82" s="17" t="str"/>
      <x:c r="M82" s="18"/>
      <x:c r="N82" s="18"/>
    </x:row>
    <x:row r="83" ht="76" customHeight="1">
      <x:c r="A83" s="13" t="str">
        <x:v>I11</x:v>
      </x:c>
      <x:c r="B83" s="3" t="str">
        <x:v>战斗</x:v>
      </x:c>
      <x:c r="C83" s="3" t="str">
        <x:v>战斗表现与操作磨合</x:v>
      </x:c>
      <x:c r="D83" s="3" t="str">
        <x:v>动画事件、音效、特效、镜头、节奏和跳过选项</x:v>
      </x:c>
      <x:c r="E83" s="3" t="str">
        <x:v>快速模式保持事件顺序；表现不改变逻辑结果</x:v>
      </x:c>
      <x:c r="F83" s="6" t="str">
        <x:v>I04,P04,Q03,S02</x:v>
      </x:c>
      <x:c r="G83" s="16" t="str">
        <x:v>S2</x:v>
      </x:c>
      <x:c r="H83" s="16" t="str">
        <x:v>必需</x:v>
      </x:c>
      <x:c r="I83" s="3" t="str">
        <x:v>战斗策划／程序</x:v>
      </x:c>
      <x:c r="J83" s="3" t="str">
        <x:v>重构</x:v>
      </x:c>
      <x:c r="K83" s="17" t="str">
        <x:v>未开始</x:v>
      </x:c>
      <x:c r="L83" s="17" t="str"/>
      <x:c r="M83" s="18"/>
      <x:c r="N83" s="18"/>
    </x:row>
    <x:row r="84" ht="76" customHeight="1">
      <x:c r="A84" s="12" t="str">
        <x:v>I12</x:v>
      </x:c>
      <x:c r="B84" s="11" t="str">
        <x:v>战斗</x:v>
      </x:c>
      <x:c r="C84" s="11" t="str">
        <x:v>遭遇制作与整体平衡</x:v>
      </x:c>
      <x:c r="D84" s="11" t="str">
        <x:v>各区战斗配置、奖励、难度与队伍构筑矩阵</x:v>
      </x:c>
      <x:c r="E84" s="11" t="str">
        <x:v>独行、不同门派与合理弱配队均有完成路径</x:v>
      </x:c>
      <x:c r="F84" s="14" t="str">
        <x:v>I06,I07,I10,I11,V06</x:v>
      </x:c>
      <x:c r="G84" s="15" t="str">
        <x:v>S3</x:v>
      </x:c>
      <x:c r="H84" s="15" t="str">
        <x:v>必需</x:v>
      </x:c>
      <x:c r="I84" s="11" t="str">
        <x:v>战斗策划／程序</x:v>
      </x:c>
      <x:c r="J84" s="11" t="str">
        <x:v>重构</x:v>
      </x:c>
      <x:c r="K84" s="17" t="str">
        <x:v>未开始</x:v>
      </x:c>
      <x:c r="L84" s="17" t="str"/>
      <x:c r="M84" s="18"/>
      <x:c r="N84" s="18"/>
    </x:row>
    <x:row r="85" ht="76" customHeight="1">
      <x:c r="A85" s="13" t="str">
        <x:v>J01</x:v>
      </x:c>
      <x:c r="B85" s="3" t="str">
        <x:v>任务与叙事</x:v>
      </x:c>
      <x:c r="C85" s="3" t="str">
        <x:v>任务状态与目标组件</x:v>
      </x:c>
      <x:c r="D85" s="3" t="str">
        <x:v>未发现、进行、完成、失败、关闭及多类目标</x:v>
      </x:c>
      <x:c r="E85" s="3" t="str">
        <x:v>任务可被战斗外行动推进，不只依赖剧情按钮</x:v>
      </x:c>
      <x:c r="F85" s="6" t="str">
        <x:v>T01,T03,A03</x:v>
      </x:c>
      <x:c r="G85" s="16" t="str">
        <x:v>S1</x:v>
      </x:c>
      <x:c r="H85" s="16" t="str">
        <x:v>必需</x:v>
      </x:c>
      <x:c r="I85" s="3" t="str">
        <x:v>叙事策划／任务程序</x:v>
      </x:c>
      <x:c r="J85" s="3" t="str">
        <x:v>重构</x:v>
      </x:c>
      <x:c r="K85" s="17" t="str">
        <x:v>未开始</x:v>
      </x:c>
      <x:c r="L85" s="17" t="str"/>
      <x:c r="M85" s="18"/>
      <x:c r="N85" s="18"/>
    </x:row>
    <x:row r="86" ht="76" customHeight="1">
      <x:c r="A86" s="12" t="str">
        <x:v>J02</x:v>
      </x:c>
      <x:c r="B86" s="11" t="str">
        <x:v>任务与叙事</x:v>
      </x:c>
      <x:c r="C86" s="11" t="str">
        <x:v>世界主线与区域开放</x:v>
      </x:c>
      <x:c r="D86" s="11" t="str">
        <x:v>世界矛盾、章节门槛、线索入口与路线汇合规则</x:v>
      </x:c>
      <x:c r="E86" s="11" t="str">
        <x:v>主线提供方向，同时允许区域内不同完成顺序</x:v>
      </x:c>
      <x:c r="F86" s="14" t="str">
        <x:v>J01,B01</x:v>
      </x:c>
      <x:c r="G86" s="15" t="str">
        <x:v>S1</x:v>
      </x:c>
      <x:c r="H86" s="15" t="str">
        <x:v>必需</x:v>
      </x:c>
      <x:c r="I86" s="11" t="str">
        <x:v>叙事策划／任务程序</x:v>
      </x:c>
      <x:c r="J86" s="11" t="str">
        <x:v>重构</x:v>
      </x:c>
      <x:c r="K86" s="17" t="str">
        <x:v>未开始</x:v>
      </x:c>
      <x:c r="L86" s="17" t="str"/>
      <x:c r="M86" s="18"/>
      <x:c r="N86" s="18"/>
    </x:row>
    <x:row r="87" ht="76" customHeight="1">
      <x:c r="A87" s="13" t="str">
        <x:v>J03</x:v>
      </x:c>
      <x:c r="B87" s="3" t="str">
        <x:v>任务与叙事</x:v>
      </x:c>
      <x:c r="C87" s="3" t="str">
        <x:v>多解任务与后果表</x:v>
      </x:c>
      <x:c r="D87" s="3" t="str">
        <x:v>目标、条件、事件、排他、代价、结果和延迟后果</x:v>
      </x:c>
      <x:c r="E87" s="3" t="str">
        <x:v>每个重点任务至少验证设计过的两条可完成路径</x:v>
      </x:c>
      <x:c r="F87" s="6" t="str">
        <x:v>J01,C03,E02</x:v>
      </x:c>
      <x:c r="G87" s="16" t="str">
        <x:v>S1</x:v>
      </x:c>
      <x:c r="H87" s="16" t="str">
        <x:v>必需</x:v>
      </x:c>
      <x:c r="I87" s="3" t="str">
        <x:v>叙事策划／任务程序</x:v>
      </x:c>
      <x:c r="J87" s="3" t="str">
        <x:v>重构</x:v>
      </x:c>
      <x:c r="K87" s="17" t="str">
        <x:v>未开始</x:v>
      </x:c>
      <x:c r="L87" s="17" t="str"/>
      <x:c r="M87" s="18"/>
      <x:c r="N87" s="18"/>
    </x:row>
    <x:row r="88" ht="76" customHeight="1">
      <x:c r="A88" s="12" t="str">
        <x:v>J04</x:v>
      </x:c>
      <x:c r="B88" s="11" t="str">
        <x:v>任务与叙事</x:v>
      </x:c>
      <x:c r="C88" s="11" t="str">
        <x:v>对话图与演出触发</x:v>
      </x:c>
      <x:c r="D88" s="11" t="str">
        <x:v>条件对白、选择、跳转、插话、镜头及跳过接口</x:v>
      </x:c>
      <x:c r="E88" s="11" t="str">
        <x:v>退出重进、跳过和存读档不会重复执行效果</x:v>
      </x:c>
      <x:c r="F88" s="14" t="str">
        <x:v>J01,C04,S01</x:v>
      </x:c>
      <x:c r="G88" s="15" t="str">
        <x:v>S1</x:v>
      </x:c>
      <x:c r="H88" s="15" t="str">
        <x:v>必需</x:v>
      </x:c>
      <x:c r="I88" s="11" t="str">
        <x:v>叙事策划／任务程序</x:v>
      </x:c>
      <x:c r="J88" s="11" t="str">
        <x:v>重构</x:v>
      </x:c>
      <x:c r="K88" s="17" t="str">
        <x:v>未开始</x:v>
      </x:c>
      <x:c r="L88" s="17" t="str"/>
      <x:c r="M88" s="18"/>
      <x:c r="N88" s="18"/>
    </x:row>
    <x:row r="89" ht="76" customHeight="1">
      <x:c r="A89" s="13" t="str">
        <x:v>J05</x:v>
      </x:c>
      <x:c r="B89" s="3" t="str">
        <x:v>任务与叙事</x:v>
      </x:c>
      <x:c r="C89" s="3" t="str">
        <x:v>失效兜底与替代路径</x:v>
      </x:c>
      <x:c r="D89" s="3" t="str">
        <x:v>目标死亡、入队、离城、敌对及提前拿物品的处理</x:v>
      </x:c>
      <x:c r="E89" s="3" t="str">
        <x:v>所有硬依赖都能替代、结算或明确终止</x:v>
      </x:c>
      <x:c r="F89" s="6" t="str">
        <x:v>J01,E01,G01</x:v>
      </x:c>
      <x:c r="G89" s="16" t="str">
        <x:v>S1</x:v>
      </x:c>
      <x:c r="H89" s="16" t="str">
        <x:v>必需</x:v>
      </x:c>
      <x:c r="I89" s="3" t="str">
        <x:v>叙事策划／任务程序</x:v>
      </x:c>
      <x:c r="J89" s="3" t="str">
        <x:v>重构</x:v>
      </x:c>
      <x:c r="K89" s="17" t="str">
        <x:v>未开始</x:v>
      </x:c>
      <x:c r="L89" s="17" t="str"/>
      <x:c r="M89" s="18"/>
      <x:c r="N89" s="18"/>
    </x:row>
    <x:row r="90" ht="76" customHeight="1">
      <x:c r="A90" s="12" t="str">
        <x:v>J06</x:v>
      </x:c>
      <x:c r="B90" s="11" t="str">
        <x:v>任务与叙事</x:v>
      </x:c>
      <x:c r="C90" s="11" t="str">
        <x:v>互斥冲突与承诺追踪</x:v>
      </x:c>
      <x:c r="D90" s="11" t="str">
        <x:v>争用NPC、唯一物品、地点阶段与承诺优先级</x:v>
      </x:c>
      <x:c r="E90" s="11" t="str">
        <x:v>互斥路线可解释，重要承诺不被低优先事件覆盖</x:v>
      </x:c>
      <x:c r="F90" s="14" t="str">
        <x:v>J03,T03</x:v>
      </x:c>
      <x:c r="G90" s="15" t="str">
        <x:v>S2</x:v>
      </x:c>
      <x:c r="H90" s="15" t="str">
        <x:v>必需</x:v>
      </x:c>
      <x:c r="I90" s="11" t="str">
        <x:v>叙事策划／任务程序</x:v>
      </x:c>
      <x:c r="J90" s="11" t="str">
        <x:v>重构</x:v>
      </x:c>
      <x:c r="K90" s="17" t="str">
        <x:v>未开始</x:v>
      </x:c>
      <x:c r="L90" s="17" t="str"/>
      <x:c r="M90" s="18"/>
      <x:c r="N90" s="18"/>
    </x:row>
    <x:row r="91" ht="76" customHeight="1">
      <x:c r="A91" s="13" t="str">
        <x:v>J07</x:v>
      </x:c>
      <x:c r="B91" s="3" t="str">
        <x:v>任务与叙事</x:v>
      </x:c>
      <x:c r="C91" s="3" t="str">
        <x:v>任务提示与线索推理</x:v>
      </x:c>
      <x:c r="D91" s="3" t="str">
        <x:v>日志、线索来源、地图范围和可选辅助提示</x:v>
      </x:c>
      <x:c r="E91" s="3" t="str">
        <x:v>不强迫查攻略；能区分事实、传言和未验证猜测</x:v>
      </x:c>
      <x:c r="F91" s="6" t="str">
        <x:v>J01,K02,R04</x:v>
      </x:c>
      <x:c r="G91" s="16" t="str">
        <x:v>S1</x:v>
      </x:c>
      <x:c r="H91" s="16" t="str">
        <x:v>必需</x:v>
      </x:c>
      <x:c r="I91" s="3" t="str">
        <x:v>叙事策划／任务程序</x:v>
      </x:c>
      <x:c r="J91" s="3" t="str">
        <x:v>重构</x:v>
      </x:c>
      <x:c r="K91" s="17" t="str">
        <x:v>未开始</x:v>
      </x:c>
      <x:c r="L91" s="17" t="str"/>
      <x:c r="M91" s="18"/>
      <x:c r="N91" s="18"/>
    </x:row>
    <x:row r="92" ht="76" customHeight="1">
      <x:c r="A92" s="12" t="str">
        <x:v>J08</x:v>
      </x:c>
      <x:c r="B92" s="11" t="str">
        <x:v>任务与叙事</x:v>
      </x:c>
      <x:c r="C92" s="11" t="str">
        <x:v>结局与后日谈</x:v>
      </x:c>
      <x:c r="D92" s="11" t="str">
        <x:v>人物、门派、区域和主角结局变量及汇总规则</x:v>
      </x:c>
      <x:c r="E92" s="11" t="str">
        <x:v>结局能追溯到选择，不出现互相矛盾的终局描述</x:v>
      </x:c>
      <x:c r="F92" s="14" t="str">
        <x:v>J02,J06,F01</x:v>
      </x:c>
      <x:c r="G92" s="15" t="str">
        <x:v>S2</x:v>
      </x:c>
      <x:c r="H92" s="15" t="str">
        <x:v>必需</x:v>
      </x:c>
      <x:c r="I92" s="11" t="str">
        <x:v>叙事策划／任务程序</x:v>
      </x:c>
      <x:c r="J92" s="11" t="str">
        <x:v>重构</x:v>
      </x:c>
      <x:c r="K92" s="17" t="str">
        <x:v>未开始</x:v>
      </x:c>
      <x:c r="L92" s="17" t="str"/>
      <x:c r="M92" s="18"/>
      <x:c r="N92" s="18"/>
    </x:row>
    <x:row r="93" ht="76" customHeight="1">
      <x:c r="A93" s="13" t="str">
        <x:v>J09</x:v>
      </x:c>
      <x:c r="B93" s="3" t="str">
        <x:v>任务与叙事</x:v>
      </x:c>
      <x:c r="C93" s="3" t="str">
        <x:v>首发叙事内容量产</x:v>
      </x:c>
      <x:c r="D93" s="3" t="str">
        <x:v>世界线、门派线、地方线和同伴线的八十八个任务包</x:v>
      </x:c>
      <x:c r="E93" s="3" t="str">
        <x:v>每包有起止、分支、奖励、异常态和演出验收</x:v>
      </x:c>
      <x:c r="F93" s="6" t="str">
        <x:v>J03,J04,J05,J06,J08,U04</x:v>
      </x:c>
      <x:c r="G93" s="16" t="str">
        <x:v>S3</x:v>
      </x:c>
      <x:c r="H93" s="16" t="str">
        <x:v>必需</x:v>
      </x:c>
      <x:c r="I93" s="3" t="str">
        <x:v>叙事策划／任务程序</x:v>
      </x:c>
      <x:c r="J93" s="3" t="str">
        <x:v>重构</x:v>
      </x:c>
      <x:c r="K93" s="17" t="str">
        <x:v>未开始</x:v>
      </x:c>
      <x:c r="L93" s="17" t="str"/>
      <x:c r="M93" s="18"/>
      <x:c r="N93" s="18"/>
    </x:row>
    <x:row r="94" ht="76" customHeight="1">
      <x:c r="A94" s="12" t="str">
        <x:v>J10</x:v>
      </x:c>
      <x:c r="B94" s="11" t="str">
        <x:v>任务与叙事</x:v>
      </x:c>
      <x:c r="C94" s="11" t="str">
        <x:v>文本校对与可本地化</x:v>
      </x:c>
      <x:c r="D94" s="11" t="str">
        <x:v>术语表、文本键、长度限制、标点和翻译上下文</x:v>
      </x:c>
      <x:c r="E94" s="11" t="str">
        <x:v>不在代码内散落正文；变量替换与长文本布局正确</x:v>
      </x:c>
      <x:c r="F94" s="14" t="str">
        <x:v>J04,U04,R07</x:v>
      </x:c>
      <x:c r="G94" s="15" t="str">
        <x:v>S3</x:v>
      </x:c>
      <x:c r="H94" s="15" t="str">
        <x:v>必需</x:v>
      </x:c>
      <x:c r="I94" s="11" t="str">
        <x:v>叙事策划／任务程序</x:v>
      </x:c>
      <x:c r="J94" s="11" t="str">
        <x:v>重构</x:v>
      </x:c>
      <x:c r="K94" s="17" t="str">
        <x:v>未开始</x:v>
      </x:c>
      <x:c r="L94" s="17" t="str"/>
      <x:c r="M94" s="18"/>
      <x:c r="N94" s="18"/>
    </x:row>
    <x:row r="95" ht="76" customHeight="1">
      <x:c r="A95" s="13" t="str">
        <x:v>K01</x:v>
      </x:c>
      <x:c r="B95" s="3" t="str">
        <x:v>奇遇与探索</x:v>
      </x:c>
      <x:c r="C95" s="3" t="str">
        <x:v>探索奖励层次</x:v>
      </x:c>
      <x:c r="D95" s="3" t="str">
        <x:v>地标、宝物、见闻、近路和能力门槛的布点规则</x:v>
      </x:c>
      <x:c r="E95" s="3" t="str">
        <x:v>探索回报包含信息或路径，避免只投放通用材料</x:v>
      </x:c>
      <x:c r="F95" s="6" t="str">
        <x:v>B01,H01</x:v>
      </x:c>
      <x:c r="G95" s="16" t="str">
        <x:v>S1</x:v>
      </x:c>
      <x:c r="H95" s="16" t="str">
        <x:v>必需</x:v>
      </x:c>
      <x:c r="I95" s="3" t="str">
        <x:v>关卡／叙事策划</x:v>
      </x:c>
      <x:c r="J95" s="3" t="str">
        <x:v>扩展</x:v>
      </x:c>
      <x:c r="K95" s="17" t="str">
        <x:v>未开始</x:v>
      </x:c>
      <x:c r="L95" s="17" t="str"/>
      <x:c r="M95" s="18"/>
      <x:c r="N95" s="18"/>
    </x:row>
    <x:row r="96" ht="76" customHeight="1">
      <x:c r="A96" s="12" t="str">
        <x:v>K02</x:v>
      </x:c>
      <x:c r="B96" s="11" t="str">
        <x:v>奇遇与探索</x:v>
      </x:c>
      <x:c r="C96" s="11" t="str">
        <x:v>传闻与情报来源</x:v>
      </x:c>
      <x:c r="D96" s="11" t="str">
        <x:v>传闻池、来源可信度、验证、过期与记录</x:v>
      </x:c>
      <x:c r="E96" s="11" t="str">
        <x:v>未知线索不直接变成地图精确答案</x:v>
      </x:c>
      <x:c r="F96" s="14" t="str">
        <x:v>E01,J01</x:v>
      </x:c>
      <x:c r="G96" s="15" t="str">
        <x:v>S1</x:v>
      </x:c>
      <x:c r="H96" s="15" t="str">
        <x:v>必需</x:v>
      </x:c>
      <x:c r="I96" s="11" t="str">
        <x:v>关卡／叙事策划</x:v>
      </x:c>
      <x:c r="J96" s="11" t="str">
        <x:v>扩展</x:v>
      </x:c>
      <x:c r="K96" s="17" t="str">
        <x:v>未开始</x:v>
      </x:c>
      <x:c r="L96" s="17" t="str"/>
      <x:c r="M96" s="18"/>
      <x:c r="N96" s="18"/>
    </x:row>
    <x:row r="97" ht="76" customHeight="1">
      <x:c r="A97" s="13" t="str">
        <x:v>K03</x:v>
      </x:c>
      <x:c r="B97" s="3" t="str">
        <x:v>奇遇与探索</x:v>
      </x:c>
      <x:c r="C97" s="3" t="str">
        <x:v>奇遇模板与触发池</x:v>
      </x:c>
      <x:c r="D97" s="3" t="str">
        <x:v>地形、时间、人物、声望和冷却的组合触发</x:v>
      </x:c>
      <x:c r="E97" s="3" t="str">
        <x:v>同一奇遇不无限重复；触发前可复现条件</x:v>
      </x:c>
      <x:c r="F97" s="6" t="str">
        <x:v>K01,D04,J03</x:v>
      </x:c>
      <x:c r="G97" s="16" t="str">
        <x:v>S2</x:v>
      </x:c>
      <x:c r="H97" s="16" t="str">
        <x:v>必需</x:v>
      </x:c>
      <x:c r="I97" s="3" t="str">
        <x:v>关卡／叙事策划</x:v>
      </x:c>
      <x:c r="J97" s="3" t="str">
        <x:v>扩展</x:v>
      </x:c>
      <x:c r="K97" s="17" t="str">
        <x:v>未开始</x:v>
      </x:c>
      <x:c r="L97" s="17" t="str"/>
      <x:c r="M97" s="18"/>
      <x:c r="N97" s="18"/>
    </x:row>
    <x:row r="98" ht="76" customHeight="1">
      <x:c r="A98" s="12" t="str">
        <x:v>K04</x:v>
      </x:c>
      <x:c r="B98" s="11" t="str">
        <x:v>奇遇与探索</x:v>
      </x:c>
      <x:c r="C98" s="11" t="str">
        <x:v>秘密与解谜</x:v>
      </x:c>
      <x:c r="D98" s="11" t="str">
        <x:v>机关、暗号、环境线索和多步解谜模板</x:v>
      </x:c>
      <x:c r="E98" s="11" t="str">
        <x:v>提示梯度、退出重入和提前解谜均能处理</x:v>
      </x:c>
      <x:c r="F98" s="14" t="str">
        <x:v>K01,C07</x:v>
      </x:c>
      <x:c r="G98" s="15" t="str">
        <x:v>S2</x:v>
      </x:c>
      <x:c r="H98" s="15" t="str">
        <x:v>必需</x:v>
      </x:c>
      <x:c r="I98" s="11" t="str">
        <x:v>关卡／叙事策划</x:v>
      </x:c>
      <x:c r="J98" s="11" t="str">
        <x:v>扩展</x:v>
      </x:c>
      <x:c r="K98" s="17" t="str">
        <x:v>未开始</x:v>
      </x:c>
      <x:c r="L98" s="17" t="str"/>
      <x:c r="M98" s="18"/>
      <x:c r="N98" s="18"/>
    </x:row>
    <x:row r="99" ht="76" customHeight="1">
      <x:c r="A99" s="13" t="str">
        <x:v>K05</x:v>
      </x:c>
      <x:c r="B99" s="3" t="str">
        <x:v>奇遇与探索</x:v>
      </x:c>
      <x:c r="C99" s="3" t="str">
        <x:v>野外危险与遭遇</x:v>
      </x:c>
      <x:c r="D99" s="3" t="str">
        <x:v>道路风险、伏击、天气影响和可绕行路线</x:v>
      </x:c>
      <x:c r="E99" s="3" t="str">
        <x:v>风险能被侦察或准备缓解，不靠随机惩罚拖时长</x:v>
      </x:c>
      <x:c r="F99" s="6" t="str">
        <x:v>K01,I06,D02</x:v>
      </x:c>
      <x:c r="G99" s="16" t="str">
        <x:v>S2</x:v>
      </x:c>
      <x:c r="H99" s="16" t="str">
        <x:v>必需</x:v>
      </x:c>
      <x:c r="I99" s="3" t="str">
        <x:v>关卡／叙事策划</x:v>
      </x:c>
      <x:c r="J99" s="3" t="str">
        <x:v>扩展</x:v>
      </x:c>
      <x:c r="K99" s="17" t="str">
        <x:v>未开始</x:v>
      </x:c>
      <x:c r="L99" s="17" t="str"/>
      <x:c r="M99" s="18"/>
      <x:c r="N99" s="18"/>
    </x:row>
    <x:row r="100" ht="76" customHeight="1">
      <x:c r="A100" s="12" t="str">
        <x:v>K06</x:v>
      </x:c>
      <x:c r="B100" s="11" t="str">
        <x:v>奇遇与探索</x:v>
      </x:c>
      <x:c r="C100" s="11" t="str">
        <x:v>探索发现与收藏记录</x:v>
      </x:c>
      <x:c r="D100" s="11" t="str">
        <x:v>地图发现、图鉴、秘密点、见闻和已完成标记</x:v>
      </x:c>
      <x:c r="E100" s="11" t="str">
        <x:v>记录与世界状态同步，不重复发奖或永久丢标记</x:v>
      </x:c>
      <x:c r="F100" s="14" t="str">
        <x:v>K02,R04,C03</x:v>
      </x:c>
      <x:c r="G100" s="15" t="str">
        <x:v>S2</x:v>
      </x:c>
      <x:c r="H100" s="15" t="str">
        <x:v>必需</x:v>
      </x:c>
      <x:c r="I100" s="11" t="str">
        <x:v>关卡／叙事策划</x:v>
      </x:c>
      <x:c r="J100" s="11" t="str">
        <x:v>扩展</x:v>
      </x:c>
      <x:c r="K100" s="17" t="str">
        <x:v>未开始</x:v>
      </x:c>
      <x:c r="L100" s="17" t="str"/>
      <x:c r="M100" s="18"/>
      <x:c r="N100" s="18"/>
    </x:row>
    <x:row r="101" ht="76" customHeight="1">
      <x:c r="A101" s="13" t="str">
        <x:v>K07</x:v>
      </x:c>
      <x:c r="B101" s="3" t="str">
        <x:v>奇遇与探索</x:v>
      </x:c>
      <x:c r="C101" s="3" t="str">
        <x:v>首发探索内容布置</x:v>
      </x:c>
      <x:c r="D101" s="3" t="str">
        <x:v>三十个秘密点及十二类奇遇模板的区域配置</x:v>
      </x:c>
      <x:c r="E101" s="3" t="str">
        <x:v>位置、触发频率、奖励与叙事节奏完成实玩校验</x:v>
      </x:c>
      <x:c r="F101" s="6" t="str">
        <x:v>K03,K04,K05,K06,U02</x:v>
      </x:c>
      <x:c r="G101" s="16" t="str">
        <x:v>S3</x:v>
      </x:c>
      <x:c r="H101" s="16" t="str">
        <x:v>必需</x:v>
      </x:c>
      <x:c r="I101" s="3" t="str">
        <x:v>关卡／叙事策划</x:v>
      </x:c>
      <x:c r="J101" s="3" t="str">
        <x:v>扩展</x:v>
      </x:c>
      <x:c r="K101" s="17" t="str">
        <x:v>未开始</x:v>
      </x:c>
      <x:c r="L101" s="17" t="str"/>
      <x:c r="M101" s="18"/>
      <x:c r="N101" s="18"/>
    </x:row>
    <x:row r="102" ht="76" customHeight="1">
      <x:c r="A102" s="12" t="str">
        <x:v>L01</x:v>
      </x:c>
      <x:c r="B102" s="11" t="str">
        <x:v>经济与物品</x:v>
      </x:c>
      <x:c r="C102" s="11" t="str">
        <x:v>统一物品与实例模型</x:v>
      </x:c>
      <x:c r="D102" s="11" t="str">
        <x:v>装备、消耗品、材料、秘籍、任务物品及唯一实例</x:v>
      </x:c>
      <x:c r="E102" s="11" t="str">
        <x:v>背包、装备、商店和任务引用同一物品源</x:v>
      </x:c>
      <x:c r="F102" s="14" t="str">
        <x:v>T01,T02</x:v>
      </x:c>
      <x:c r="G102" s="15" t="str">
        <x:v>S1</x:v>
      </x:c>
      <x:c r="H102" s="15" t="str">
        <x:v>必需</x:v>
      </x:c>
      <x:c r="I102" s="11" t="str">
        <x:v>数值策划／系统程序</x:v>
      </x:c>
      <x:c r="J102" s="11" t="str">
        <x:v>重构</x:v>
      </x:c>
      <x:c r="K102" s="17" t="str">
        <x:v>未开始</x:v>
      </x:c>
      <x:c r="L102" s="17" t="str"/>
      <x:c r="M102" s="18"/>
      <x:c r="N102" s="18"/>
    </x:row>
    <x:row r="103" ht="76" customHeight="1">
      <x:c r="A103" s="13" t="str">
        <x:v>L02</x:v>
      </x:c>
      <x:c r="B103" s="3" t="str">
        <x:v>经济与物品</x:v>
      </x:c>
      <x:c r="C103" s="3" t="str">
        <x:v>经济产出消耗模型</x:v>
      </x:c>
      <x:c r="D103" s="3" t="str">
        <x:v>货币来源、治疗、交通、修炼、制作和装备支出表</x:v>
      </x:c>
      <x:c r="E103" s="3" t="str">
        <x:v>切片与中期均有合理用途，不强迫重复刷钱</x:v>
      </x:c>
      <x:c r="F103" s="6" t="str">
        <x:v>L01,A06</x:v>
      </x:c>
      <x:c r="G103" s="16" t="str">
        <x:v>S1</x:v>
      </x:c>
      <x:c r="H103" s="16" t="str">
        <x:v>必需</x:v>
      </x:c>
      <x:c r="I103" s="3" t="str">
        <x:v>数值策划／系统程序</x:v>
      </x:c>
      <x:c r="J103" s="3" t="str">
        <x:v>重构</x:v>
      </x:c>
      <x:c r="K103" s="17" t="str">
        <x:v>未开始</x:v>
      </x:c>
      <x:c r="L103" s="17" t="str"/>
      <x:c r="M103" s="18"/>
      <x:c r="N103" s="18"/>
    </x:row>
    <x:row r="104" ht="76" customHeight="1">
      <x:c r="A104" s="12" t="str">
        <x:v>L03</x:v>
      </x:c>
      <x:c r="B104" s="11" t="str">
        <x:v>经济与物品</x:v>
      </x:c>
      <x:c r="C104" s="11" t="str">
        <x:v>商店与库存</x:v>
      </x:c>
      <x:c r="D104" s="11" t="str">
        <x:v>商人清单、限量库存、补货、价格和购回规则</x:v>
      </x:c>
      <x:c r="E104" s="11" t="str">
        <x:v>买卖原子提交；补货、读档和重复点击无复制漏洞</x:v>
      </x:c>
      <x:c r="F104" s="14" t="str">
        <x:v>L01,C03,D01</x:v>
      </x:c>
      <x:c r="G104" s="15" t="str">
        <x:v>S1</x:v>
      </x:c>
      <x:c r="H104" s="15" t="str">
        <x:v>必需</x:v>
      </x:c>
      <x:c r="I104" s="11" t="str">
        <x:v>数值策划／系统程序</x:v>
      </x:c>
      <x:c r="J104" s="11" t="str">
        <x:v>重构</x:v>
      </x:c>
      <x:c r="K104" s="17" t="str">
        <x:v>未开始</x:v>
      </x:c>
      <x:c r="L104" s="17" t="str"/>
      <x:c r="M104" s="18"/>
      <x:c r="N104" s="18"/>
    </x:row>
    <x:row r="105" ht="76" customHeight="1">
      <x:c r="A105" s="13" t="str">
        <x:v>L04</x:v>
      </x:c>
      <x:c r="B105" s="3" t="str">
        <x:v>经济与物品</x:v>
      </x:c>
      <x:c r="C105" s="3" t="str">
        <x:v>装备与强化选择</x:v>
      </x:c>
      <x:c r="D105" s="3" t="str">
        <x:v>装备部位、品质、词条、修理或强化取舍</x:v>
      </x:c>
      <x:c r="E105" s="3" t="str">
        <x:v>装备提升有构筑选择，不以无限随机词条膨胀内容</x:v>
      </x:c>
      <x:c r="F105" s="6" t="str">
        <x:v>L01,H02</x:v>
      </x:c>
      <x:c r="G105" s="16" t="str">
        <x:v>S2</x:v>
      </x:c>
      <x:c r="H105" s="16" t="str">
        <x:v>必需</x:v>
      </x:c>
      <x:c r="I105" s="3" t="str">
        <x:v>数值策划／系统程序</x:v>
      </x:c>
      <x:c r="J105" s="3" t="str">
        <x:v>重构</x:v>
      </x:c>
      <x:c r="K105" s="17" t="str">
        <x:v>未开始</x:v>
      </x:c>
      <x:c r="L105" s="17" t="str"/>
      <x:c r="M105" s="18"/>
      <x:c r="N105" s="18"/>
    </x:row>
    <x:row r="106" ht="76" customHeight="1">
      <x:c r="A106" s="12" t="str">
        <x:v>L05</x:v>
      </x:c>
      <x:c r="B106" s="11" t="str">
        <x:v>经济与物品</x:v>
      </x:c>
      <x:c r="C106" s="11" t="str">
        <x:v>奖励与掉落表</x:v>
      </x:c>
      <x:c r="D106" s="11" t="str">
        <x:v>战利品、固定奖励、随机种子、归属和防重复策略</x:v>
      </x:c>
      <x:c r="E106" s="11" t="str">
        <x:v>剧情唯一物品有保底；关键奖励不被随机掉落替代</x:v>
      </x:c>
      <x:c r="F106" s="14" t="str">
        <x:v>L01,T04,J01</x:v>
      </x:c>
      <x:c r="G106" s="15" t="str">
        <x:v>S1</x:v>
      </x:c>
      <x:c r="H106" s="15" t="str">
        <x:v>必需</x:v>
      </x:c>
      <x:c r="I106" s="11" t="str">
        <x:v>数值策划／系统程序</x:v>
      </x:c>
      <x:c r="J106" s="11" t="str">
        <x:v>重构</x:v>
      </x:c>
      <x:c r="K106" s="17" t="str">
        <x:v>未开始</x:v>
      </x:c>
      <x:c r="L106" s="17" t="str"/>
      <x:c r="M106" s="18"/>
      <x:c r="N106" s="18"/>
    </x:row>
    <x:row r="107" ht="76" customHeight="1">
      <x:c r="A107" s="13" t="str">
        <x:v>L06</x:v>
      </x:c>
      <x:c r="B107" s="3" t="str">
        <x:v>经济与物品</x:v>
      </x:c>
      <x:c r="C107" s="3" t="str">
        <x:v>所有权与赃物</x:v>
      </x:c>
      <x:c r="D107" s="3" t="str">
        <x:v>个人、门派、公共物、赃物和销赃数据</x:v>
      </x:c>
      <x:c r="E107" s="3" t="str">
        <x:v>偷取、归还、没收、死亡掉落保留合法来源链</x:v>
      </x:c>
      <x:c r="F107" s="6" t="str">
        <x:v>L01,N01,C05</x:v>
      </x:c>
      <x:c r="G107" s="16" t="str">
        <x:v>S2</x:v>
      </x:c>
      <x:c r="H107" s="16" t="str">
        <x:v>必需</x:v>
      </x:c>
      <x:c r="I107" s="3" t="str">
        <x:v>数值策划／系统程序</x:v>
      </x:c>
      <x:c r="J107" s="3" t="str">
        <x:v>重构</x:v>
      </x:c>
      <x:c r="K107" s="17" t="str">
        <x:v>未开始</x:v>
      </x:c>
      <x:c r="L107" s="17" t="str"/>
      <x:c r="M107" s="18"/>
      <x:c r="N107" s="18"/>
    </x:row>
    <x:row r="108" ht="76" customHeight="1">
      <x:c r="A108" s="12" t="str">
        <x:v>L07</x:v>
      </x:c>
      <x:c r="B108" s="11" t="str">
        <x:v>经济与物品</x:v>
      </x:c>
      <x:c r="C108" s="11" t="str">
        <x:v>地区差价与服务</x:v>
      </x:c>
      <x:c r="D108" s="11" t="str">
        <x:v>有限价格修正、声望折扣、稀缺性和服务权限</x:v>
      </x:c>
      <x:c r="E108" s="11" t="str">
        <x:v>可交易但不存在无成本即时买卖闭环套利</x:v>
      </x:c>
      <x:c r="F108" s="14" t="str">
        <x:v>L02,L03,F01</x:v>
      </x:c>
      <x:c r="G108" s="15" t="str">
        <x:v>S2</x:v>
      </x:c>
      <x:c r="H108" s="15" t="str">
        <x:v>必需</x:v>
      </x:c>
      <x:c r="I108" s="11" t="str">
        <x:v>数值策划／系统程序</x:v>
      </x:c>
      <x:c r="J108" s="11" t="str">
        <x:v>重构</x:v>
      </x:c>
      <x:c r="K108" s="17" t="str">
        <x:v>未开始</x:v>
      </x:c>
      <x:c r="L108" s="17" t="str"/>
      <x:c r="M108" s="18"/>
      <x:c r="N108" s="18"/>
    </x:row>
    <x:row r="109" ht="76" customHeight="1">
      <x:c r="A109" s="13" t="str">
        <x:v>L08</x:v>
      </x:c>
      <x:c r="B109" s="3" t="str">
        <x:v>经济与物品</x:v>
      </x:c>
      <x:c r="C109" s="3" t="str">
        <x:v>物品与奖励量产</x:v>
      </x:c>
      <x:c r="D109" s="3" t="str">
        <x:v>六十件装备、二十消耗品、二十四材料及奖励配置</x:v>
      </x:c>
      <x:c r="E109" s="3" t="str">
        <x:v>每件有图标、说明、来源、用途和经济检查</x:v>
      </x:c>
      <x:c r="F109" s="6" t="str">
        <x:v>L04,L05,L06,L07,U05</x:v>
      </x:c>
      <x:c r="G109" s="16" t="str">
        <x:v>S3</x:v>
      </x:c>
      <x:c r="H109" s="16" t="str">
        <x:v>必需</x:v>
      </x:c>
      <x:c r="I109" s="3" t="str">
        <x:v>数值策划／系统程序</x:v>
      </x:c>
      <x:c r="J109" s="3" t="str">
        <x:v>重构</x:v>
      </x:c>
      <x:c r="K109" s="17" t="str">
        <x:v>未开始</x:v>
      </x:c>
      <x:c r="L109" s="17" t="str"/>
      <x:c r="M109" s="18"/>
      <x:c r="N109" s="18"/>
    </x:row>
    <x:row r="110" ht="76" customHeight="1">
      <x:c r="A110" s="12" t="str">
        <x:v>M01</x:v>
      </x:c>
      <x:c r="B110" s="11" t="str">
        <x:v>生活技艺</x:v>
      </x:c>
      <x:c r="C110" s="11" t="str">
        <x:v>生活技艺范围与用途</x:v>
      </x:c>
      <x:c r="D110" s="11" t="str">
        <x:v>医术、炼药、烹饪、采集的首发选择及产出关系</x:v>
      </x:c>
      <x:c r="E110" s="11" t="str">
        <x:v>每项服务战斗、探索或关系，避免独立进度条堆砌</x:v>
      </x:c>
      <x:c r="F110" s="14" t="str">
        <x:v>A06,L02,H07</x:v>
      </x:c>
      <x:c r="G110" s="15" t="str">
        <x:v>S1</x:v>
      </x:c>
      <x:c r="H110" s="15" t="str">
        <x:v>必需</x:v>
      </x:c>
      <x:c r="I110" s="11" t="str">
        <x:v>系统／关卡策划</x:v>
      </x:c>
      <x:c r="J110" s="11" t="str">
        <x:v>新增</x:v>
      </x:c>
      <x:c r="K110" s="17" t="str">
        <x:v>未开始</x:v>
      </x:c>
      <x:c r="L110" s="17" t="str"/>
      <x:c r="M110" s="18"/>
      <x:c r="N110" s="18"/>
    </x:row>
    <x:row r="111" ht="76" customHeight="1">
      <x:c r="A111" s="13" t="str">
        <x:v>M02</x:v>
      </x:c>
      <x:c r="B111" s="3" t="str">
        <x:v>生活技艺</x:v>
      </x:c>
      <x:c r="C111" s="3" t="str">
        <x:v>采集点与材料回收</x:v>
      </x:c>
      <x:c r="D111" s="3" t="str">
        <x:v>资源点、采集成本、工具、归属和刷新</x:v>
      </x:c>
      <x:c r="E111" s="3" t="str">
        <x:v>重复进出地图不刷新资源；偷采纳入归属规则</x:v>
      </x:c>
      <x:c r="F111" s="6" t="str">
        <x:v>M01,C05,D06</x:v>
      </x:c>
      <x:c r="G111" s="16" t="str">
        <x:v>S2</x:v>
      </x:c>
      <x:c r="H111" s="16" t="str">
        <x:v>必需</x:v>
      </x:c>
      <x:c r="I111" s="3" t="str">
        <x:v>系统／关卡策划</x:v>
      </x:c>
      <x:c r="J111" s="3" t="str">
        <x:v>新增</x:v>
      </x:c>
      <x:c r="K111" s="17" t="str">
        <x:v>未开始</x:v>
      </x:c>
      <x:c r="L111" s="17" t="str"/>
      <x:c r="M111" s="18"/>
      <x:c r="N111" s="18"/>
    </x:row>
    <x:row r="112" ht="76" customHeight="1">
      <x:c r="A112" s="12" t="str">
        <x:v>M03</x:v>
      </x:c>
      <x:c r="B112" s="11" t="str">
        <x:v>生活技艺</x:v>
      </x:c>
      <x:c r="C112" s="11" t="str">
        <x:v>制作配方与批量操作</x:v>
      </x:c>
      <x:c r="D112" s="11" t="str">
        <x:v>配方、材料、产物、时间和批量上限</x:v>
      </x:c>
      <x:c r="E112" s="11" t="str">
        <x:v>材料校验和提交原子化；批量制造可预览成本</x:v>
      </x:c>
      <x:c r="F112" s="14" t="str">
        <x:v>M01,L01,C03</x:v>
      </x:c>
      <x:c r="G112" s="15" t="str">
        <x:v>S2</x:v>
      </x:c>
      <x:c r="H112" s="15" t="str">
        <x:v>必需</x:v>
      </x:c>
      <x:c r="I112" s="11" t="str">
        <x:v>系统／关卡策划</x:v>
      </x:c>
      <x:c r="J112" s="11" t="str">
        <x:v>新增</x:v>
      </x:c>
      <x:c r="K112" s="17" t="str">
        <x:v>未开始</x:v>
      </x:c>
      <x:c r="L112" s="17" t="str"/>
      <x:c r="M112" s="18"/>
      <x:c r="N112" s="18"/>
    </x:row>
    <x:row r="113" ht="76" customHeight="1">
      <x:c r="A113" s="13" t="str">
        <x:v>M04</x:v>
      </x:c>
      <x:c r="B113" s="3" t="str">
        <x:v>生活技艺</x:v>
      </x:c>
      <x:c r="C113" s="3" t="str">
        <x:v>医术与疗伤事件</x:v>
      </x:c>
      <x:c r="D113" s="3" t="str">
        <x:v>诊断、疗伤、伤势门槛、NPC救治和回报</x:v>
      </x:c>
      <x:c r="E113" s="3" t="str">
        <x:v>医术可改变任务或关系，不仅恢复一条数值</x:v>
      </x:c>
      <x:c r="F113" s="6" t="str">
        <x:v>M01,E02,I07</x:v>
      </x:c>
      <x:c r="G113" s="16" t="str">
        <x:v>S2</x:v>
      </x:c>
      <x:c r="H113" s="16" t="str">
        <x:v>必需</x:v>
      </x:c>
      <x:c r="I113" s="3" t="str">
        <x:v>系统／关卡策划</x:v>
      </x:c>
      <x:c r="J113" s="3" t="str">
        <x:v>新增</x:v>
      </x:c>
      <x:c r="K113" s="17" t="str">
        <x:v>未开始</x:v>
      </x:c>
      <x:c r="L113" s="17" t="str"/>
      <x:c r="M113" s="18"/>
      <x:c r="N113" s="18"/>
    </x:row>
    <x:row r="114" ht="76" customHeight="1">
      <x:c r="A114" s="12" t="str">
        <x:v>M05</x:v>
      </x:c>
      <x:c r="B114" s="11" t="str">
        <x:v>生活技艺</x:v>
      </x:c>
      <x:c r="C114" s="11" t="str">
        <x:v>烹饪与药物差异</x:v>
      </x:c>
      <x:c r="D114" s="11" t="str">
        <x:v>战前准备、持续增益、即时治疗和叠加限制</x:v>
      </x:c>
      <x:c r="E114" s="11" t="str">
        <x:v>增益互斥和持续时间在UI清楚，无无限叠加</x:v>
      </x:c>
      <x:c r="F114" s="14" t="str">
        <x:v>M03,H02</x:v>
      </x:c>
      <x:c r="G114" s="15" t="str">
        <x:v>S2</x:v>
      </x:c>
      <x:c r="H114" s="15" t="str">
        <x:v>必需</x:v>
      </x:c>
      <x:c r="I114" s="11" t="str">
        <x:v>系统／关卡策划</x:v>
      </x:c>
      <x:c r="J114" s="11" t="str">
        <x:v>新增</x:v>
      </x:c>
      <x:c r="K114" s="17" t="str">
        <x:v>未开始</x:v>
      </x:c>
      <x:c r="L114" s="17" t="str"/>
      <x:c r="M114" s="18"/>
      <x:c r="N114" s="18"/>
    </x:row>
    <x:row r="115" ht="76" customHeight="1">
      <x:c r="A115" s="13" t="str">
        <x:v>M06</x:v>
      </x:c>
      <x:c r="B115" s="3" t="str">
        <x:v>生活技艺</x:v>
      </x:c>
      <x:c r="C115" s="3" t="str">
        <x:v>技艺成长与传授</x:v>
      </x:c>
      <x:c r="D115" s="3" t="str">
        <x:v>配方发现、师傅传授、使用成长及瓶颈</x:v>
      </x:c>
      <x:c r="E115" s="3" t="str">
        <x:v>主要配方不依赖大量无意义重复加工</x:v>
      </x:c>
      <x:c r="F115" s="6" t="str">
        <x:v>M03,F05,H08</x:v>
      </x:c>
      <x:c r="G115" s="16" t="str">
        <x:v>S2</x:v>
      </x:c>
      <x:c r="H115" s="16" t="str">
        <x:v>必需</x:v>
      </x:c>
      <x:c r="I115" s="3" t="str">
        <x:v>系统／关卡策划</x:v>
      </x:c>
      <x:c r="J115" s="3" t="str">
        <x:v>新增</x:v>
      </x:c>
      <x:c r="K115" s="17" t="str">
        <x:v>未开始</x:v>
      </x:c>
      <x:c r="L115" s="17" t="str"/>
      <x:c r="M115" s="18"/>
      <x:c r="N115" s="18"/>
    </x:row>
    <x:row r="116" ht="76" customHeight="1">
      <x:c r="A116" s="12" t="str">
        <x:v>M07</x:v>
      </x:c>
      <x:c r="B116" s="11" t="str">
        <x:v>生活技艺</x:v>
      </x:c>
      <x:c r="C116" s="11" t="str">
        <x:v>首发配方与技艺关卡</x:v>
      </x:c>
      <x:c r="D116" s="11" t="str">
        <x:v>十六张配方及配套任务、资源点和使用场景</x:v>
      </x:c>
      <x:c r="E116" s="11" t="str">
        <x:v>每条生产链具备原料来源、实际用途与回归案例</x:v>
      </x:c>
      <x:c r="F116" s="14" t="str">
        <x:v>M02,M04,M05,M06,U05</x:v>
      </x:c>
      <x:c r="G116" s="15" t="str">
        <x:v>S3</x:v>
      </x:c>
      <x:c r="H116" s="15" t="str">
        <x:v>必需</x:v>
      </x:c>
      <x:c r="I116" s="11" t="str">
        <x:v>系统／关卡策划</x:v>
      </x:c>
      <x:c r="J116" s="11" t="str">
        <x:v>新增</x:v>
      </x:c>
      <x:c r="K116" s="17" t="str">
        <x:v>未开始</x:v>
      </x:c>
      <x:c r="L116" s="17" t="str"/>
      <x:c r="M116" s="18"/>
      <x:c r="N116" s="18"/>
    </x:row>
    <x:row r="117" ht="76" customHeight="1">
      <x:c r="A117" s="13" t="str">
        <x:v>N01</x:v>
      </x:c>
      <x:c r="B117" s="3" t="str">
        <x:v>身份与治安</x:v>
      </x:c>
      <x:c r="C117" s="3" t="str">
        <x:v>所有权与犯罪判定</x:v>
      </x:c>
      <x:c r="D117" s="3" t="str">
        <x:v>侵入、偷盗、伤人、杀人及合法挑战的事件分类</x:v>
      </x:c>
      <x:c r="E117" s="3" t="str">
        <x:v>同一行为按地点、目标和许可作一致判定</x:v>
      </x:c>
      <x:c r="F117" s="6" t="str">
        <x:v>A03,E01,F01</x:v>
      </x:c>
      <x:c r="G117" s="16" t="str">
        <x:v>S1</x:v>
      </x:c>
      <x:c r="H117" s="16" t="str">
        <x:v>必需</x:v>
      </x:c>
      <x:c r="I117" s="3" t="str">
        <x:v>系统策划／程序</x:v>
      </x:c>
      <x:c r="J117" s="3" t="str">
        <x:v>新增</x:v>
      </x:c>
      <x:c r="K117" s="17" t="str">
        <x:v>未开始</x:v>
      </x:c>
      <x:c r="L117" s="17" t="str"/>
      <x:c r="M117" s="18"/>
      <x:c r="N117" s="18"/>
    </x:row>
    <x:row r="118" ht="76" customHeight="1">
      <x:c r="A118" s="12" t="str">
        <x:v>N02</x:v>
      </x:c>
      <x:c r="B118" s="11" t="str">
        <x:v>身份与治安</x:v>
      </x:c>
      <x:c r="C118" s="11" t="str">
        <x:v>目击与信息传播</x:v>
      </x:c>
      <x:c r="D118" s="11" t="str">
        <x:v>视线、距离、举报、消息传播范围与证据</x:v>
      </x:c>
      <x:c r="E118" s="11" t="str">
        <x:v>无人知晓的行为不立即全图通缉，有证据链可查</x:v>
      </x:c>
      <x:c r="F118" s="14" t="str">
        <x:v>N01,E03,B02</x:v>
      </x:c>
      <x:c r="G118" s="15" t="str">
        <x:v>S2</x:v>
      </x:c>
      <x:c r="H118" s="15" t="str">
        <x:v>必需</x:v>
      </x:c>
      <x:c r="I118" s="11" t="str">
        <x:v>系统策划／程序</x:v>
      </x:c>
      <x:c r="J118" s="11" t="str">
        <x:v>新增</x:v>
      </x:c>
      <x:c r="K118" s="17" t="str">
        <x:v>未开始</x:v>
      </x:c>
      <x:c r="L118" s="17" t="str"/>
      <x:c r="M118" s="18"/>
      <x:c r="N118" s="18"/>
    </x:row>
    <x:row r="119" ht="76" customHeight="1">
      <x:c r="A119" s="13" t="str">
        <x:v>N03</x:v>
      </x:c>
      <x:c r="B119" s="3" t="str">
        <x:v>身份与治安</x:v>
      </x:c>
      <x:c r="C119" s="3" t="str">
        <x:v>通缉与势力追责</x:v>
      </x:c>
      <x:c r="D119" s="3" t="str">
        <x:v>地区热度、追捕、门派追责及出入口限制</x:v>
      </x:c>
      <x:c r="E119" s="3" t="str">
        <x:v>私人恩怨、地方治安与门派敌对不被混成一个值</x:v>
      </x:c>
      <x:c r="F119" s="6" t="str">
        <x:v>N02,F01</x:v>
      </x:c>
      <x:c r="G119" s="16" t="str">
        <x:v>S2</x:v>
      </x:c>
      <x:c r="H119" s="16" t="str">
        <x:v>必需</x:v>
      </x:c>
      <x:c r="I119" s="3" t="str">
        <x:v>系统策划／程序</x:v>
      </x:c>
      <x:c r="J119" s="3" t="str">
        <x:v>新增</x:v>
      </x:c>
      <x:c r="K119" s="17" t="str">
        <x:v>未开始</x:v>
      </x:c>
      <x:c r="L119" s="17" t="str"/>
      <x:c r="M119" s="18"/>
      <x:c r="N119" s="18"/>
    </x:row>
    <x:row r="120" ht="76" customHeight="1">
      <x:c r="A120" s="12" t="str">
        <x:v>N04</x:v>
      </x:c>
      <x:c r="B120" s="11" t="str">
        <x:v>身份与治安</x:v>
      </x:c>
      <x:c r="C120" s="11" t="str">
        <x:v>赔偿投案与赎罪</x:v>
      </x:c>
      <x:c r="D120" s="11" t="str">
        <x:v>赔偿、坐牢、作保、任务补偿和敌意消退</x:v>
      </x:c>
      <x:c r="E120" s="11" t="str">
        <x:v>玩家能了解代价和解除条件，避免无解敌对档</x:v>
      </x:c>
      <x:c r="F120" s="14" t="str">
        <x:v>N03,C03,D02</x:v>
      </x:c>
      <x:c r="G120" s="15" t="str">
        <x:v>S2</x:v>
      </x:c>
      <x:c r="H120" s="15" t="str">
        <x:v>必需</x:v>
      </x:c>
      <x:c r="I120" s="11" t="str">
        <x:v>系统策划／程序</x:v>
      </x:c>
      <x:c r="J120" s="11" t="str">
        <x:v>新增</x:v>
      </x:c>
      <x:c r="K120" s="17" t="str">
        <x:v>未开始</x:v>
      </x:c>
      <x:c r="L120" s="17" t="str"/>
      <x:c r="M120" s="18"/>
      <x:c r="N120" s="18"/>
    </x:row>
    <x:row r="121" ht="76" customHeight="1">
      <x:c r="A121" s="13" t="str">
        <x:v>N05</x:v>
      </x:c>
      <x:c r="B121" s="3" t="str">
        <x:v>身份与治安</x:v>
      </x:c>
      <x:c r="C121" s="3" t="str">
        <x:v>身份伪装与权限</x:v>
      </x:c>
      <x:c r="D121" s="3" t="str">
        <x:v>首发身份凭据、通行牌及有限伪装规则</x:v>
      </x:c>
      <x:c r="E121" s="3" t="str">
        <x:v>凭据获取、失效、识破和禁区服务一致</x:v>
      </x:c>
      <x:c r="F121" s="6" t="str">
        <x:v>N01,C02</x:v>
      </x:c>
      <x:c r="G121" s="16" t="str">
        <x:v>S2</x:v>
      </x:c>
      <x:c r="H121" s="16" t="str">
        <x:v>增强</x:v>
      </x:c>
      <x:c r="I121" s="3" t="str">
        <x:v>系统策划／程序</x:v>
      </x:c>
      <x:c r="J121" s="3" t="str">
        <x:v>新增</x:v>
      </x:c>
      <x:c r="K121" s="17" t="str">
        <x:v>未开始</x:v>
      </x:c>
      <x:c r="L121" s="17" t="str"/>
      <x:c r="M121" s="18"/>
      <x:c r="N121" s="18"/>
    </x:row>
    <x:row r="122" ht="76" customHeight="1">
      <x:c r="A122" s="12" t="str">
        <x:v>N06</x:v>
      </x:c>
      <x:c r="B122" s="11" t="str">
        <x:v>身份与治安</x:v>
      </x:c>
      <x:c r="C122" s="11" t="str">
        <x:v>治安压力测试</x:v>
      </x:c>
      <x:c r="D122" s="11" t="str">
        <x:v>跨区犯罪、目击者死亡、被捕和读档案例</x:v>
      </x:c>
      <x:c r="E122" s="11" t="str">
        <x:v>案件归属、赃物没收、时间和任务后果一致</x:v>
      </x:c>
      <x:c r="F122" s="14" t="str">
        <x:v>N03,N04,L06,V03</x:v>
      </x:c>
      <x:c r="G122" s="15" t="str">
        <x:v>S3</x:v>
      </x:c>
      <x:c r="H122" s="15" t="str">
        <x:v>必需</x:v>
      </x:c>
      <x:c r="I122" s="11" t="str">
        <x:v>系统策划／程序</x:v>
      </x:c>
      <x:c r="J122" s="11" t="str">
        <x:v>新增</x:v>
      </x:c>
      <x:c r="K122" s="17" t="str">
        <x:v>未开始</x:v>
      </x:c>
      <x:c r="L122" s="17" t="str"/>
      <x:c r="M122" s="18"/>
      <x:c r="N122" s="18"/>
    </x:row>
    <x:row r="123" ht="76" customHeight="1">
      <x:c r="A123" s="13" t="str">
        <x:v>O01</x:v>
      </x:c>
      <x:c r="B123" s="3" t="str">
        <x:v>场景美术</x:v>
      </x:c>
      <x:c r="C123" s="3" t="str">
        <x:v>视觉规范与场景标杆</x:v>
      </x:c>
      <x:c r="D123" s="3" t="str">
        <x:v>构图、色彩、线条、材质、镜头和可交互层规范</x:v>
      </x:c>
      <x:c r="E123" s="3" t="str">
        <x:v>一张实际运行的昼夜场景达到团队认可的质量标杆</x:v>
      </x:c>
      <x:c r="F123" s="6" t="str">
        <x:v>A05,A07,B02</x:v>
      </x:c>
      <x:c r="G123" s="16" t="str">
        <x:v>S1</x:v>
      </x:c>
      <x:c r="H123" s="16" t="str">
        <x:v>必需</x:v>
      </x:c>
      <x:c r="I123" s="3" t="str">
        <x:v>美术指导／场景美术</x:v>
      </x:c>
      <x:c r="J123" s="3" t="str">
        <x:v>新增</x:v>
      </x:c>
      <x:c r="K123" s="17" t="str">
        <x:v>未开始</x:v>
      </x:c>
      <x:c r="L123" s="17" t="str"/>
      <x:c r="M123" s="18"/>
      <x:c r="N123" s="18"/>
    </x:row>
    <x:row r="124" ht="76" customHeight="1">
      <x:c r="A124" s="12" t="str">
        <x:v>O02</x:v>
      </x:c>
      <x:c r="B124" s="11" t="str">
        <x:v>场景美术</x:v>
      </x:c>
      <x:c r="C124" s="11" t="str">
        <x:v>模块化场景套件</x:v>
      </x:c>
      <x:c r="D124" s="11" t="str">
        <x:v>建筑、地面、墙体、屋顶、植被与街景组件</x:v>
      </x:c>
      <x:c r="E124" s="11" t="str">
        <x:v>统一尺寸、锚点、拼接、遮挡和材质，不露接缝</x:v>
      </x:c>
      <x:c r="F124" s="14" t="str">
        <x:v>O01,B05</x:v>
      </x:c>
      <x:c r="G124" s="15" t="str">
        <x:v>S1</x:v>
      </x:c>
      <x:c r="H124" s="15" t="str">
        <x:v>必需</x:v>
      </x:c>
      <x:c r="I124" s="11" t="str">
        <x:v>美术指导／场景美术</x:v>
      </x:c>
      <x:c r="J124" s="11" t="str">
        <x:v>新增</x:v>
      </x:c>
      <x:c r="K124" s="17" t="str">
        <x:v>未开始</x:v>
      </x:c>
      <x:c r="L124" s="17" t="str"/>
      <x:c r="M124" s="18"/>
      <x:c r="N124" s="18"/>
    </x:row>
    <x:row r="125" ht="76" customHeight="1">
      <x:c r="A125" s="13" t="str">
        <x:v>O03</x:v>
      </x:c>
      <x:c r="B125" s="3" t="str">
        <x:v>场景美术</x:v>
      </x:c>
      <x:c r="C125" s="3" t="str">
        <x:v>交互物与状态变体</x:v>
      </x:c>
      <x:c r="D125" s="3" t="str">
        <x:v>门、箱子、药炉、机关、告示和破坏前后状态</x:v>
      </x:c>
      <x:c r="E125" s="3" t="str">
        <x:v>美术状态与可交互状态一致，不依赖文本补救</x:v>
      </x:c>
      <x:c r="F125" s="6" t="str">
        <x:v>O01,C01</x:v>
      </x:c>
      <x:c r="G125" s="16" t="str">
        <x:v>S1</x:v>
      </x:c>
      <x:c r="H125" s="16" t="str">
        <x:v>必需</x:v>
      </x:c>
      <x:c r="I125" s="3" t="str">
        <x:v>美术指导／场景美术</x:v>
      </x:c>
      <x:c r="J125" s="3" t="str">
        <x:v>新增</x:v>
      </x:c>
      <x:c r="K125" s="17" t="str">
        <x:v>未开始</x:v>
      </x:c>
      <x:c r="L125" s="17" t="str"/>
      <x:c r="M125" s="18"/>
      <x:c r="N125" s="18"/>
    </x:row>
    <x:row r="126" ht="76" customHeight="1">
      <x:c r="A126" s="12" t="str">
        <x:v>O04</x:v>
      </x:c>
      <x:c r="B126" s="11" t="str">
        <x:v>场景美术</x:v>
      </x:c>
      <x:c r="C126" s="11" t="str">
        <x:v>光照天气与昼夜</x:v>
      </x:c>
      <x:c r="D126" s="11" t="str">
        <x:v>日夜色板、雨雾、局部光源和室内外过渡</x:v>
      </x:c>
      <x:c r="E126" s="11" t="str">
        <x:v>暗部可读；天气不遮住战斗提示与出口</x:v>
      </x:c>
      <x:c r="F126" s="14" t="str">
        <x:v>O01,D01</x:v>
      </x:c>
      <x:c r="G126" s="15" t="str">
        <x:v>S2</x:v>
      </x:c>
      <x:c r="H126" s="15" t="str">
        <x:v>必需</x:v>
      </x:c>
      <x:c r="I126" s="11" t="str">
        <x:v>美术指导／场景美术</x:v>
      </x:c>
      <x:c r="J126" s="11" t="str">
        <x:v>新增</x:v>
      </x:c>
      <x:c r="K126" s="17" t="str">
        <x:v>未开始</x:v>
      </x:c>
      <x:c r="L126" s="17" t="str"/>
      <x:c r="M126" s="18"/>
      <x:c r="N126" s="18"/>
    </x:row>
    <x:row r="127" ht="76" customHeight="1">
      <x:c r="A127" s="13" t="str">
        <x:v>O05</x:v>
      </x:c>
      <x:c r="B127" s="3" t="str">
        <x:v>场景美术</x:v>
      </x:c>
      <x:c r="C127" s="3" t="str">
        <x:v>多区域风格与地标</x:v>
      </x:c>
      <x:c r="D127" s="3" t="str">
        <x:v>五区域生态、建筑语汇、材质和远景设计</x:v>
      </x:c>
      <x:c r="E127" s="3" t="str">
        <x:v>区域一眼可区分，仍保持同一游戏的比例和色彩规则</x:v>
      </x:c>
      <x:c r="F127" s="6" t="str">
        <x:v>O02,B07</x:v>
      </x:c>
      <x:c r="G127" s="16" t="str">
        <x:v>S2</x:v>
      </x:c>
      <x:c r="H127" s="16" t="str">
        <x:v>必需</x:v>
      </x:c>
      <x:c r="I127" s="3" t="str">
        <x:v>美术指导／场景美术</x:v>
      </x:c>
      <x:c r="J127" s="3" t="str">
        <x:v>新增</x:v>
      </x:c>
      <x:c r="K127" s="17" t="str">
        <x:v>未开始</x:v>
      </x:c>
      <x:c r="L127" s="17" t="str"/>
      <x:c r="M127" s="18"/>
      <x:c r="N127" s="18"/>
    </x:row>
    <x:row r="128" ht="76" customHeight="1">
      <x:c r="A128" s="12" t="str">
        <x:v>O06</x:v>
      </x:c>
      <x:c r="B128" s="11" t="str">
        <x:v>场景美术</x:v>
      </x:c>
      <x:c r="C128" s="11" t="str">
        <x:v>资源切片与性能预算</x:v>
      </x:c>
      <x:c r="D128" s="11" t="str">
        <x:v>图集、分层、压缩、遮挡、加载和内存限制</x:v>
      </x:c>
      <x:c r="E128" s="11" t="str">
        <x:v>目标设备下切图、行走和战斗没有明显资源抖动</x:v>
      </x:c>
      <x:c r="F128" s="14" t="str">
        <x:v>O02,T06</x:v>
      </x:c>
      <x:c r="G128" s="15" t="str">
        <x:v>S2</x:v>
      </x:c>
      <x:c r="H128" s="15" t="str">
        <x:v>必需</x:v>
      </x:c>
      <x:c r="I128" s="11" t="str">
        <x:v>美术指导／场景美术</x:v>
      </x:c>
      <x:c r="J128" s="11" t="str">
        <x:v>新增</x:v>
      </x:c>
      <x:c r="K128" s="17" t="str">
        <x:v>未开始</x:v>
      </x:c>
      <x:c r="L128" s="17" t="str"/>
      <x:c r="M128" s="18"/>
      <x:c r="N128" s="18"/>
    </x:row>
    <x:row r="129" ht="76" customHeight="1">
      <x:c r="A129" s="13" t="str">
        <x:v>O07</x:v>
      </x:c>
      <x:c r="B129" s="3" t="str">
        <x:v>场景美术</x:v>
      </x:c>
      <x:c r="C129" s="3" t="str">
        <x:v>场景量产审核流水线</x:v>
      </x:c>
      <x:c r="D129" s="3" t="str">
        <x:v>命名、导入预设、场景检查、审美评审与返修规则</x:v>
      </x:c>
      <x:c r="E129" s="3" t="str">
        <x:v>每张地图经过运行时而非仅原画截图验收</x:v>
      </x:c>
      <x:c r="F129" s="6" t="str">
        <x:v>O03,O04,O05,O06,U02</x:v>
      </x:c>
      <x:c r="G129" s="16" t="str">
        <x:v>S2</x:v>
      </x:c>
      <x:c r="H129" s="16" t="str">
        <x:v>必需</x:v>
      </x:c>
      <x:c r="I129" s="3" t="str">
        <x:v>美术指导／场景美术</x:v>
      </x:c>
      <x:c r="J129" s="3" t="str">
        <x:v>新增</x:v>
      </x:c>
      <x:c r="K129" s="17" t="str">
        <x:v>未开始</x:v>
      </x:c>
      <x:c r="L129" s="17" t="str"/>
      <x:c r="M129" s="18"/>
      <x:c r="N129" s="18"/>
    </x:row>
    <x:row r="130" ht="76" customHeight="1">
      <x:c r="A130" s="12" t="str">
        <x:v>P01</x:v>
      </x:c>
      <x:c r="B130" s="11" t="str">
        <x:v>角色与动画</x:v>
      </x:c>
      <x:c r="C130" s="11" t="str">
        <x:v>角色设计与比例标杆</x:v>
      </x:c>
      <x:c r="D130" s="11" t="str">
        <x:v>主角、同伴、敌人和背景人物的轮廓及尺寸规范</x:v>
      </x:c>
      <x:c r="E130" s="11" t="str">
        <x:v>缩到实际游戏镜头后仍能辨认阵营、武器和方向</x:v>
      </x:c>
      <x:c r="F130" s="14" t="str">
        <x:v>A05,A04</x:v>
      </x:c>
      <x:c r="G130" s="15" t="str">
        <x:v>S1</x:v>
      </x:c>
      <x:c r="H130" s="15" t="str">
        <x:v>必需</x:v>
      </x:c>
      <x:c r="I130" s="11" t="str">
        <x:v>角色美术／动画／TA</x:v>
      </x:c>
      <x:c r="J130" s="11" t="str">
        <x:v>新增</x:v>
      </x:c>
      <x:c r="K130" s="17" t="str">
        <x:v>未开始</x:v>
      </x:c>
      <x:c r="L130" s="17" t="str"/>
      <x:c r="M130" s="18"/>
      <x:c r="N130" s="18"/>
    </x:row>
    <x:row r="131" ht="76" customHeight="1">
      <x:c r="A131" s="13" t="str">
        <x:v>P02</x:v>
      </x:c>
      <x:c r="B131" s="3" t="str">
        <x:v>角色与动画</x:v>
      </x:c>
      <x:c r="C131" s="3" t="str">
        <x:v>角色骨架与模块复用</x:v>
      </x:c>
      <x:c r="D131" s="3" t="str">
        <x:v>体型族、服装层、配件、武器、方向和遮挡协议</x:v>
      </x:c>
      <x:c r="E131" s="3" t="str">
        <x:v>复用后不穿帮；镜像不会错误交换不对称武器和服装</x:v>
      </x:c>
      <x:c r="F131" s="6" t="str">
        <x:v>P01,A07</x:v>
      </x:c>
      <x:c r="G131" s="16" t="str">
        <x:v>S1</x:v>
      </x:c>
      <x:c r="H131" s="16" t="str">
        <x:v>必需</x:v>
      </x:c>
      <x:c r="I131" s="3" t="str">
        <x:v>角色美术／动画／TA</x:v>
      </x:c>
      <x:c r="J131" s="3" t="str">
        <x:v>新增</x:v>
      </x:c>
      <x:c r="K131" s="17" t="str">
        <x:v>未开始</x:v>
      </x:c>
      <x:c r="L131" s="17" t="str"/>
      <x:c r="M131" s="18"/>
      <x:c r="N131" s="18"/>
    </x:row>
    <x:row r="132" ht="76" customHeight="1">
      <x:c r="A132" s="12" t="str">
        <x:v>P03</x:v>
      </x:c>
      <x:c r="B132" s="11" t="str">
        <x:v>角色与动画</x:v>
      </x:c>
      <x:c r="C132" s="11" t="str">
        <x:v>探索动作集</x:v>
      </x:c>
      <x:c r="D132" s="11" t="str">
        <x:v>待机、行走、奔跑、互动、打坐、受伤和倒地</x:v>
      </x:c>
      <x:c r="E132" s="11" t="str">
        <x:v>移动速度与步频匹配，各方向过渡无跳帧错位</x:v>
      </x:c>
      <x:c r="F132" s="14" t="str">
        <x:v>P02,B03</x:v>
      </x:c>
      <x:c r="G132" s="15" t="str">
        <x:v>S1</x:v>
      </x:c>
      <x:c r="H132" s="15" t="str">
        <x:v>必需</x:v>
      </x:c>
      <x:c r="I132" s="11" t="str">
        <x:v>角色美术／动画／TA</x:v>
      </x:c>
      <x:c r="J132" s="11" t="str">
        <x:v>新增</x:v>
      </x:c>
      <x:c r="K132" s="17" t="str">
        <x:v>未开始</x:v>
      </x:c>
      <x:c r="L132" s="17" t="str"/>
      <x:c r="M132" s="18"/>
      <x:c r="N132" s="18"/>
    </x:row>
    <x:row r="133" ht="76" customHeight="1">
      <x:c r="A133" s="13" t="str">
        <x:v>P04</x:v>
      </x:c>
      <x:c r="B133" s="3" t="str">
        <x:v>角色与动画</x:v>
      </x:c>
      <x:c r="C133" s="3" t="str">
        <x:v>战斗动作与事件点</x:v>
      </x:c>
      <x:c r="D133" s="3" t="str">
        <x:v>起手、蓄力、攻击、受击、格挡、闪避和死亡动作</x:v>
      </x:c>
      <x:c r="E133" s="3" t="str">
        <x:v>命中事件、武器轨迹和伤害时间一致，可控制播放速度</x:v>
      </x:c>
      <x:c r="F133" s="6" t="str">
        <x:v>P02,I02</x:v>
      </x:c>
      <x:c r="G133" s="16" t="str">
        <x:v>S1</x:v>
      </x:c>
      <x:c r="H133" s="16" t="str">
        <x:v>必需</x:v>
      </x:c>
      <x:c r="I133" s="3" t="str">
        <x:v>角色美术／动画／TA</x:v>
      </x:c>
      <x:c r="J133" s="3" t="str">
        <x:v>新增</x:v>
      </x:c>
      <x:c r="K133" s="17" t="str">
        <x:v>未开始</x:v>
      </x:c>
      <x:c r="L133" s="17" t="str"/>
      <x:c r="M133" s="18"/>
      <x:c r="N133" s="18"/>
    </x:row>
    <x:row r="134" ht="76" customHeight="1">
      <x:c r="A134" s="12" t="str">
        <x:v>P05</x:v>
      </x:c>
      <x:c r="B134" s="11" t="str">
        <x:v>角色与动画</x:v>
      </x:c>
      <x:c r="C134" s="11" t="str">
        <x:v>兵器流派与首领专属</x:v>
      </x:c>
      <x:c r="D134" s="11" t="str">
        <x:v>剑刀拳棍等动作族及首领特殊动作</x:v>
      </x:c>
      <x:c r="E134" s="11" t="str">
        <x:v>动作族区别来自姿态、节奏和接触方式，避免全员换皮</x:v>
      </x:c>
      <x:c r="F134" s="14" t="str">
        <x:v>P04,H05,I05</x:v>
      </x:c>
      <x:c r="G134" s="15" t="str">
        <x:v>S2</x:v>
      </x:c>
      <x:c r="H134" s="15" t="str">
        <x:v>必需</x:v>
      </x:c>
      <x:c r="I134" s="11" t="str">
        <x:v>角色美术／动画／TA</x:v>
      </x:c>
      <x:c r="J134" s="11" t="str">
        <x:v>新增</x:v>
      </x:c>
      <x:c r="K134" s="17" t="str">
        <x:v>未开始</x:v>
      </x:c>
      <x:c r="L134" s="17" t="str"/>
      <x:c r="M134" s="18"/>
      <x:c r="N134" s="18"/>
    </x:row>
    <x:row r="135" ht="76" customHeight="1">
      <x:c r="A135" s="13" t="str">
        <x:v>P06</x:v>
      </x:c>
      <x:c r="B135" s="3" t="str">
        <x:v>角色与动画</x:v>
      </x:c>
      <x:c r="C135" s="3" t="str">
        <x:v>肖像与表情演出</x:v>
      </x:c>
      <x:c r="D135" s="3" t="str">
        <x:v>主要人物头像、情绪差分、对话构图和表情触发</x:v>
      </x:c>
      <x:c r="E135" s="3" t="str">
        <x:v>肖像与场景角色一致；表情符合上下文且有回退方案</x:v>
      </x:c>
      <x:c r="F135" s="6" t="str">
        <x:v>P01,J04</x:v>
      </x:c>
      <x:c r="G135" s="16" t="str">
        <x:v>S2</x:v>
      </x:c>
      <x:c r="H135" s="16" t="str">
        <x:v>必需</x:v>
      </x:c>
      <x:c r="I135" s="3" t="str">
        <x:v>角色美术／动画／TA</x:v>
      </x:c>
      <x:c r="J135" s="3" t="str">
        <x:v>新增</x:v>
      </x:c>
      <x:c r="K135" s="17" t="str">
        <x:v>未开始</x:v>
      </x:c>
      <x:c r="L135" s="17" t="str"/>
      <x:c r="M135" s="18"/>
      <x:c r="N135" s="18"/>
    </x:row>
    <x:row r="136" ht="76" customHeight="1">
      <x:c r="A136" s="12" t="str">
        <x:v>P07</x:v>
      </x:c>
      <x:c r="B136" s="11" t="str">
        <x:v>角色与动画</x:v>
      </x:c>
      <x:c r="C136" s="11" t="str">
        <x:v>角色量产与整体验收</x:v>
      </x:c>
      <x:c r="D136" s="11" t="str">
        <x:v>命名NPC、同伴、敌人与背景人群的完整运行资产</x:v>
      </x:c>
      <x:c r="E136" s="11" t="str">
        <x:v>逐个检查方向、动作、材质、受击、遮挡和缺失状态</x:v>
      </x:c>
      <x:c r="F136" s="14" t="str">
        <x:v>P03,P05,P06,U06</x:v>
      </x:c>
      <x:c r="G136" s="15" t="str">
        <x:v>S3</x:v>
      </x:c>
      <x:c r="H136" s="15" t="str">
        <x:v>必需</x:v>
      </x:c>
      <x:c r="I136" s="11" t="str">
        <x:v>角色美术／动画／TA</x:v>
      </x:c>
      <x:c r="J136" s="11" t="str">
        <x:v>新增</x:v>
      </x:c>
      <x:c r="K136" s="17" t="str">
        <x:v>未开始</x:v>
      </x:c>
      <x:c r="L136" s="17" t="str"/>
      <x:c r="M136" s="18"/>
      <x:c r="N136" s="18"/>
    </x:row>
    <x:row r="137" ht="76" customHeight="1">
      <x:c r="A137" s="13" t="str">
        <x:v>Q01</x:v>
      </x:c>
      <x:c r="B137" s="3" t="str">
        <x:v>战斗特效</x:v>
      </x:c>
      <x:c r="C137" s="3" t="str">
        <x:v>特效风格与信息分层</x:v>
      </x:c>
      <x:c r="D137" s="3" t="str">
        <x:v>己方敌方、范围、危险、命中和控制的表现规范</x:v>
      </x:c>
      <x:c r="E137" s="3" t="str">
        <x:v>信息不能只靠颜色，弱视和低特效模式仍能辨识</x:v>
      </x:c>
      <x:c r="F137" s="6" t="str">
        <x:v>A05,I04</x:v>
      </x:c>
      <x:c r="G137" s="16" t="str">
        <x:v>S1</x:v>
      </x:c>
      <x:c r="H137" s="16" t="str">
        <x:v>必需</x:v>
      </x:c>
      <x:c r="I137" s="3" t="str">
        <x:v>特效／TA</x:v>
      </x:c>
      <x:c r="J137" s="3" t="str">
        <x:v>新增</x:v>
      </x:c>
      <x:c r="K137" s="17" t="str">
        <x:v>未开始</x:v>
      </x:c>
      <x:c r="L137" s="17" t="str"/>
      <x:c r="M137" s="18"/>
      <x:c r="N137" s="18"/>
    </x:row>
    <x:row r="138" ht="76" customHeight="1">
      <x:c r="A138" s="12" t="str">
        <x:v>Q02</x:v>
      </x:c>
      <x:c r="B138" s="11" t="str">
        <x:v>战斗特效</x:v>
      </x:c>
      <x:c r="C138" s="11" t="str">
        <x:v>攻击与预警模板</x:v>
      </x:c>
      <x:c r="D138" s="11" t="str">
        <x:v>剑气、拳劲、刀光、暗器、蓄力和落点模板</x:v>
      </x:c>
      <x:c r="E138" s="11" t="str">
        <x:v>预警覆盖范围与实际判定一致，不被装饰特效掩盖</x:v>
      </x:c>
      <x:c r="F138" s="14" t="str">
        <x:v>Q01,I02</x:v>
      </x:c>
      <x:c r="G138" s="15" t="str">
        <x:v>S1</x:v>
      </x:c>
      <x:c r="H138" s="15" t="str">
        <x:v>必需</x:v>
      </x:c>
      <x:c r="I138" s="11" t="str">
        <x:v>特效／TA</x:v>
      </x:c>
      <x:c r="J138" s="11" t="str">
        <x:v>新增</x:v>
      </x:c>
      <x:c r="K138" s="17" t="str">
        <x:v>未开始</x:v>
      </x:c>
      <x:c r="L138" s="17" t="str"/>
      <x:c r="M138" s="18"/>
      <x:c r="N138" s="18"/>
    </x:row>
    <x:row r="139" ht="76" customHeight="1">
      <x:c r="A139" s="13" t="str">
        <x:v>Q03</x:v>
      </x:c>
      <x:c r="B139" s="3" t="str">
        <x:v>战斗特效</x:v>
      </x:c>
      <x:c r="C139" s="3" t="str">
        <x:v>命中反馈与镜头</x:v>
      </x:c>
      <x:c r="D139" s="3" t="str">
        <x:v>击中、格挡、暴击、破防、震动、停顿和镜头强度</x:v>
      </x:c>
      <x:c r="E139" s="3" t="str">
        <x:v>反馈可调，逻辑不依赖镜头或动画时长</x:v>
      </x:c>
      <x:c r="F139" s="6" t="str">
        <x:v>Q01,P04</x:v>
      </x:c>
      <x:c r="G139" s="16" t="str">
        <x:v>S1</x:v>
      </x:c>
      <x:c r="H139" s="16" t="str">
        <x:v>必需</x:v>
      </x:c>
      <x:c r="I139" s="3" t="str">
        <x:v>特效／TA</x:v>
      </x:c>
      <x:c r="J139" s="3" t="str">
        <x:v>新增</x:v>
      </x:c>
      <x:c r="K139" s="17" t="str">
        <x:v>未开始</x:v>
      </x:c>
      <x:c r="L139" s="17" t="str"/>
      <x:c r="M139" s="18"/>
      <x:c r="N139" s="18"/>
    </x:row>
    <x:row r="140" ht="76" customHeight="1">
      <x:c r="A140" s="12" t="str">
        <x:v>Q04</x:v>
      </x:c>
      <x:c r="B140" s="11" t="str">
        <x:v>战斗特效</x:v>
      </x:c>
      <x:c r="C140" s="11" t="str">
        <x:v>状态与环境特效</x:v>
      </x:c>
      <x:c r="D140" s="11" t="str">
        <x:v>中毒、灼烧、护体、治疗、机关和危险地形</x:v>
      </x:c>
      <x:c r="E140" s="11" t="str">
        <x:v>层叠后仍能辨认人物和地面，过期效果立即清理</x:v>
      </x:c>
      <x:c r="F140" s="14" t="str">
        <x:v>Q02,I09</x:v>
      </x:c>
      <x:c r="G140" s="15" t="str">
        <x:v>S2</x:v>
      </x:c>
      <x:c r="H140" s="15" t="str">
        <x:v>必需</x:v>
      </x:c>
      <x:c r="I140" s="11" t="str">
        <x:v>特效／TA</x:v>
      </x:c>
      <x:c r="J140" s="11" t="str">
        <x:v>新增</x:v>
      </x:c>
      <x:c r="K140" s="17" t="str">
        <x:v>未开始</x:v>
      </x:c>
      <x:c r="L140" s="17" t="str"/>
      <x:c r="M140" s="18"/>
      <x:c r="N140" s="18"/>
    </x:row>
    <x:row r="141" ht="76" customHeight="1">
      <x:c r="A141" s="13" t="str">
        <x:v>Q05</x:v>
      </x:c>
      <x:c r="B141" s="3" t="str">
        <x:v>战斗特效</x:v>
      </x:c>
      <x:c r="C141" s="3" t="str">
        <x:v>武学特效参数化</x:v>
      </x:c>
      <x:c r="D141" s="3" t="str">
        <x:v>颜色、轨迹、范围、等级和动作事件的配置体系</x:v>
      </x:c>
      <x:c r="E141" s="3" t="str">
        <x:v>共用模板保留流派识别，不为每条武学复制整套资源</x:v>
      </x:c>
      <x:c r="F141" s="6" t="str">
        <x:v>Q02,H05,U05</x:v>
      </x:c>
      <x:c r="G141" s="16" t="str">
        <x:v>S2</x:v>
      </x:c>
      <x:c r="H141" s="16" t="str">
        <x:v>必需</x:v>
      </x:c>
      <x:c r="I141" s="3" t="str">
        <x:v>特效／TA</x:v>
      </x:c>
      <x:c r="J141" s="3" t="str">
        <x:v>新增</x:v>
      </x:c>
      <x:c r="K141" s="17" t="str">
        <x:v>未开始</x:v>
      </x:c>
      <x:c r="L141" s="17" t="str"/>
      <x:c r="M141" s="18"/>
      <x:c r="N141" s="18"/>
    </x:row>
    <x:row r="142" ht="76" customHeight="1">
      <x:c r="A142" s="12" t="str">
        <x:v>Q06</x:v>
      </x:c>
      <x:c r="B142" s="11" t="str">
        <x:v>战斗特效</x:v>
      </x:c>
      <x:c r="C142" s="11" t="str">
        <x:v>特效预算与量产审核</x:v>
      </x:c>
      <x:c r="D142" s="11" t="str">
        <x:v>同屏上限、粒子回收、过绘、降级和资源检查</x:v>
      </x:c>
      <x:c r="E142" s="11" t="str">
        <x:v>满队群攻加天气时仍满足目标帧率与辨识度</x:v>
      </x:c>
      <x:c r="F142" s="14" t="str">
        <x:v>Q03,Q04,Q05,T06</x:v>
      </x:c>
      <x:c r="G142" s="15" t="str">
        <x:v>S3</x:v>
      </x:c>
      <x:c r="H142" s="15" t="str">
        <x:v>必需</x:v>
      </x:c>
      <x:c r="I142" s="11" t="str">
        <x:v>特效／TA</x:v>
      </x:c>
      <x:c r="J142" s="11" t="str">
        <x:v>新增</x:v>
      </x:c>
      <x:c r="K142" s="17" t="str">
        <x:v>未开始</x:v>
      </x:c>
      <x:c r="L142" s="17" t="str"/>
      <x:c r="M142" s="18"/>
      <x:c r="N142" s="18"/>
    </x:row>
    <x:row r="143" ht="76" customHeight="1">
      <x:c r="A143" s="13" t="str">
        <x:v>R01</x:v>
      </x:c>
      <x:c r="B143" s="3" t="str">
        <x:v>界面与操作</x:v>
      </x:c>
      <x:c r="C143" s="3" t="str">
        <x:v>输入与焦点框架</x:v>
      </x:c>
      <x:c r="D143" s="3" t="str">
        <x:v>键鼠、手柄、重绑、焦点、模态窗口和取消层级</x:v>
      </x:c>
      <x:c r="E143" s="3" t="str">
        <x:v>全流程可用一种输入设备完成，焦点不丢失</x:v>
      </x:c>
      <x:c r="F143" s="6" t="str">
        <x:v>A02,A04,A07</x:v>
      </x:c>
      <x:c r="G143" s="16" t="str">
        <x:v>S1</x:v>
      </x:c>
      <x:c r="H143" s="16" t="str">
        <x:v>必需</x:v>
      </x:c>
      <x:c r="I143" s="3" t="str">
        <x:v>UX／UI／客户端程序</x:v>
      </x:c>
      <x:c r="J143" s="3" t="str">
        <x:v>重构</x:v>
      </x:c>
      <x:c r="K143" s="17" t="str">
        <x:v>未开始</x:v>
      </x:c>
      <x:c r="L143" s="17" t="str"/>
      <x:c r="M143" s="18"/>
      <x:c r="N143" s="18"/>
    </x:row>
    <x:row r="144" ht="76" customHeight="1">
      <x:c r="A144" s="12" t="str">
        <x:v>R02</x:v>
      </x:c>
      <x:c r="B144" s="11" t="str">
        <x:v>界面与操作</x:v>
      </x:c>
      <x:c r="C144" s="11" t="str">
        <x:v>探索HUD与交互提示</x:v>
      </x:c>
      <x:c r="D144" s="11" t="str">
        <x:v>小地图、时间、队伍、附近动作和危险提示</x:v>
      </x:c>
      <x:c r="E144" s="11" t="str">
        <x:v>常用动作触达短；不遮挡人物和场景主要信息</x:v>
      </x:c>
      <x:c r="F144" s="14" t="str">
        <x:v>R01,C02,D01</x:v>
      </x:c>
      <x:c r="G144" s="15" t="str">
        <x:v>S1</x:v>
      </x:c>
      <x:c r="H144" s="15" t="str">
        <x:v>必需</x:v>
      </x:c>
      <x:c r="I144" s="11" t="str">
        <x:v>UX／UI／客户端程序</x:v>
      </x:c>
      <x:c r="J144" s="11" t="str">
        <x:v>重构</x:v>
      </x:c>
      <x:c r="K144" s="17" t="str">
        <x:v>未开始</x:v>
      </x:c>
      <x:c r="L144" s="17" t="str"/>
      <x:c r="M144" s="18"/>
      <x:c r="N144" s="18"/>
    </x:row>
    <x:row r="145" ht="76" customHeight="1">
      <x:c r="A145" s="13" t="str">
        <x:v>R03</x:v>
      </x:c>
      <x:c r="B145" s="3" t="str">
        <x:v>界面与操作</x:v>
      </x:c>
      <x:c r="C145" s="3" t="str">
        <x:v>角色背包与整备</x:v>
      </x:c>
      <x:c r="D145" s="3" t="str">
        <x:v>角色页、装备比较、筛选、排序、批量操作与队伍切换</x:v>
      </x:c>
      <x:c r="E145" s="3" t="str">
        <x:v>装备来源和属性变化清楚，误卖关键物可防止或恢复</x:v>
      </x:c>
      <x:c r="F145" s="6" t="str">
        <x:v>R01,L01,H02,G01</x:v>
      </x:c>
      <x:c r="G145" s="16" t="str">
        <x:v>S1</x:v>
      </x:c>
      <x:c r="H145" s="16" t="str">
        <x:v>必需</x:v>
      </x:c>
      <x:c r="I145" s="3" t="str">
        <x:v>UX／UI／客户端程序</x:v>
      </x:c>
      <x:c r="J145" s="3" t="str">
        <x:v>重构</x:v>
      </x:c>
      <x:c r="K145" s="17" t="str">
        <x:v>未开始</x:v>
      </x:c>
      <x:c r="L145" s="17" t="str"/>
      <x:c r="M145" s="18"/>
      <x:c r="N145" s="18"/>
    </x:row>
    <x:row r="146" ht="76" customHeight="1">
      <x:c r="A146" s="12" t="str">
        <x:v>R04</x:v>
      </x:c>
      <x:c r="B146" s="11" t="str">
        <x:v>界面与操作</x:v>
      </x:c>
      <x:c r="C146" s="11" t="str">
        <x:v>世界地图任务与知识</x:v>
      </x:c>
      <x:c r="D146" s="11" t="str">
        <x:v>区域地图、日志、传闻、人物关系和检索界面</x:v>
      </x:c>
      <x:c r="E146" s="11" t="str">
        <x:v>信息说明来源和更新时间，能从任务找到相关地图范围</x:v>
      </x:c>
      <x:c r="F146" s="14" t="str">
        <x:v>R01,J01,K02</x:v>
      </x:c>
      <x:c r="G146" s="15" t="str">
        <x:v>S1</x:v>
      </x:c>
      <x:c r="H146" s="15" t="str">
        <x:v>必需</x:v>
      </x:c>
      <x:c r="I146" s="11" t="str">
        <x:v>UX／UI／客户端程序</x:v>
      </x:c>
      <x:c r="J146" s="11" t="str">
        <x:v>重构</x:v>
      </x:c>
      <x:c r="K146" s="17" t="str">
        <x:v>未开始</x:v>
      </x:c>
      <x:c r="L146" s="17" t="str"/>
      <x:c r="M146" s="18"/>
      <x:c r="N146" s="18"/>
    </x:row>
    <x:row r="147" ht="76" customHeight="1">
      <x:c r="A147" s="13" t="str">
        <x:v>R05</x:v>
      </x:c>
      <x:c r="B147" s="3" t="str">
        <x:v>界面与操作</x:v>
      </x:c>
      <x:c r="C147" s="3" t="str">
        <x:v>门派交易与生活技艺UI</x:v>
      </x:c>
      <x:c r="D147" s="3" t="str">
        <x:v>门派权限、商店、修炼、制作和治疗服务界面</x:v>
      </x:c>
      <x:c r="E147" s="3" t="str">
        <x:v>成本、耗时、条件、结果在提交前可见</x:v>
      </x:c>
      <x:c r="F147" s="6" t="str">
        <x:v>R03,F04,L03,M03</x:v>
      </x:c>
      <x:c r="G147" s="16" t="str">
        <x:v>S2</x:v>
      </x:c>
      <x:c r="H147" s="16" t="str">
        <x:v>必需</x:v>
      </x:c>
      <x:c r="I147" s="3" t="str">
        <x:v>UX／UI／客户端程序</x:v>
      </x:c>
      <x:c r="J147" s="3" t="str">
        <x:v>重构</x:v>
      </x:c>
      <x:c r="K147" s="17" t="str">
        <x:v>未开始</x:v>
      </x:c>
      <x:c r="L147" s="17" t="str"/>
      <x:c r="M147" s="18"/>
      <x:c r="N147" s="18"/>
    </x:row>
    <x:row r="148" ht="76" customHeight="1">
      <x:c r="A148" s="12" t="str">
        <x:v>R06</x:v>
      </x:c>
      <x:c r="B148" s="11" t="str">
        <x:v>界面与操作</x:v>
      </x:c>
      <x:c r="C148" s="11" t="str">
        <x:v>新手引导与渐进解锁</x:v>
      </x:c>
      <x:c r="D148" s="11" t="str">
        <x:v>开局十分钟、首战、首次出门、拜师和失败指导</x:v>
      </x:c>
      <x:c r="E148" s="11" t="str">
        <x:v>玩家能自然学会移动、交互和战斗，教程不依赖一次弹窗</x:v>
      </x:c>
      <x:c r="F148" s="14" t="str">
        <x:v>R02,R03,I04,J07</x:v>
      </x:c>
      <x:c r="G148" s="15" t="str">
        <x:v>S1</x:v>
      </x:c>
      <x:c r="H148" s="15" t="str">
        <x:v>必需</x:v>
      </x:c>
      <x:c r="I148" s="11" t="str">
        <x:v>UX／UI／客户端程序</x:v>
      </x:c>
      <x:c r="J148" s="11" t="str">
        <x:v>重构</x:v>
      </x:c>
      <x:c r="K148" s="17" t="str">
        <x:v>未开始</x:v>
      </x:c>
      <x:c r="L148" s="17" t="str"/>
      <x:c r="M148" s="18"/>
      <x:c r="N148" s="18"/>
    </x:row>
    <x:row r="149" ht="76" customHeight="1">
      <x:c r="A149" s="13" t="str">
        <x:v>R07</x:v>
      </x:c>
      <x:c r="B149" s="3" t="str">
        <x:v>界面与操作</x:v>
      </x:c>
      <x:c r="C149" s="3" t="str">
        <x:v>可读性与无障碍</x:v>
      </x:c>
      <x:c r="D149" s="3" t="str">
        <x:v>字号、对比、字幕、色弱提示、震动开关和提示强度</x:v>
      </x:c>
      <x:c r="E149" s="3" t="str">
        <x:v>小屏与目标分辨率可读；所有重要声音有视觉信息</x:v>
      </x:c>
      <x:c r="F149" s="6" t="str">
        <x:v>R01,A05</x:v>
      </x:c>
      <x:c r="G149" s="16" t="str">
        <x:v>S2</x:v>
      </x:c>
      <x:c r="H149" s="16" t="str">
        <x:v>必需</x:v>
      </x:c>
      <x:c r="I149" s="3" t="str">
        <x:v>UX／UI／客户端程序</x:v>
      </x:c>
      <x:c r="J149" s="3" t="str">
        <x:v>重构</x:v>
      </x:c>
      <x:c r="K149" s="17" t="str">
        <x:v>未开始</x:v>
      </x:c>
      <x:c r="L149" s="17" t="str"/>
      <x:c r="M149" s="18"/>
      <x:c r="N149" s="18"/>
    </x:row>
    <x:row r="150" ht="76" customHeight="1">
      <x:c r="A150" s="12" t="str">
        <x:v>R08</x:v>
      </x:c>
      <x:c r="B150" s="11" t="str">
        <x:v>界面与操作</x:v>
      </x:c>
      <x:c r="C150" s="11" t="str">
        <x:v>全流程体验走查</x:v>
      </x:c>
      <x:c r="D150" s="11" t="str">
        <x:v>操作步数、重复劳动、等待、卡点和错误提示整改</x:v>
      </x:c>
      <x:c r="E150" s="11" t="str">
        <x:v>主路径无无意义确认；常用操作符合阶段体验目标</x:v>
      </x:c>
      <x:c r="F150" s="14" t="str">
        <x:v>R04,R05,R06,R07,V05</x:v>
      </x:c>
      <x:c r="G150" s="15" t="str">
        <x:v>S3</x:v>
      </x:c>
      <x:c r="H150" s="15" t="str">
        <x:v>必需</x:v>
      </x:c>
      <x:c r="I150" s="11" t="str">
        <x:v>UX／UI／客户端程序</x:v>
      </x:c>
      <x:c r="J150" s="11" t="str">
        <x:v>重构</x:v>
      </x:c>
      <x:c r="K150" s="17" t="str">
        <x:v>未开始</x:v>
      </x:c>
      <x:c r="L150" s="17" t="str"/>
      <x:c r="M150" s="18"/>
      <x:c r="N150" s="18"/>
    </x:row>
    <x:row r="151" ht="76" customHeight="1">
      <x:c r="A151" s="13" t="str">
        <x:v>S01</x:v>
      </x:c>
      <x:c r="B151" s="3" t="str">
        <x:v>声音与演出</x:v>
      </x:c>
      <x:c r="C151" s="3" t="str">
        <x:v>演出系统与可跳过事件</x:v>
      </x:c>
      <x:c r="D151" s="3" t="str">
        <x:v>镜头、站位、对白、音频和事件结束恢复协议</x:v>
      </x:c>
      <x:c r="E151" s="3" t="str">
        <x:v>跳过演出仍执行应有状态变更，角色控制必定归还</x:v>
      </x:c>
      <x:c r="F151" s="6" t="str">
        <x:v>A05,T03,B03</x:v>
      </x:c>
      <x:c r="G151" s="16" t="str">
        <x:v>S1</x:v>
      </x:c>
      <x:c r="H151" s="16" t="str">
        <x:v>必需</x:v>
      </x:c>
      <x:c r="I151" s="3" t="str">
        <x:v>音频／叙事演出</x:v>
      </x:c>
      <x:c r="J151" s="3" t="str">
        <x:v>新增</x:v>
      </x:c>
      <x:c r="K151" s="17" t="str">
        <x:v>未开始</x:v>
      </x:c>
      <x:c r="L151" s="17" t="str"/>
      <x:c r="M151" s="18"/>
      <x:c r="N151" s="18"/>
    </x:row>
    <x:row r="152" ht="76" customHeight="1">
      <x:c r="A152" s="12" t="str">
        <x:v>S02</x:v>
      </x:c>
      <x:c r="B152" s="11" t="str">
        <x:v>声音与演出</x:v>
      </x:c>
      <x:c r="C152" s="11" t="str">
        <x:v>战斗音效与材质反馈</x:v>
      </x:c>
      <x:c r="D152" s="11" t="str">
        <x:v>兵器、命中、格挡、脚步、地表和技能音效库</x:v>
      </x:c>
      <x:c r="E152" s="11" t="str">
        <x:v>音效与接触事件同步，连续群攻不会音量失控</x:v>
      </x:c>
      <x:c r="F152" s="14" t="str">
        <x:v>P04,I02</x:v>
      </x:c>
      <x:c r="G152" s="15" t="str">
        <x:v>S1</x:v>
      </x:c>
      <x:c r="H152" s="15" t="str">
        <x:v>必需</x:v>
      </x:c>
      <x:c r="I152" s="11" t="str">
        <x:v>音频／叙事演出</x:v>
      </x:c>
      <x:c r="J152" s="11" t="str">
        <x:v>新增</x:v>
      </x:c>
      <x:c r="K152" s="17" t="str">
        <x:v>未开始</x:v>
      </x:c>
      <x:c r="L152" s="17" t="str"/>
      <x:c r="M152" s="18"/>
      <x:c r="N152" s="18"/>
    </x:row>
    <x:row r="153" ht="76" customHeight="1">
      <x:c r="A153" s="13" t="str">
        <x:v>S03</x:v>
      </x:c>
      <x:c r="B153" s="3" t="str">
        <x:v>声音与演出</x:v>
      </x:c>
      <x:c r="C153" s="3" t="str">
        <x:v>环境声与空间层次</x:v>
      </x:c>
      <x:c r="D153" s="3" t="str">
        <x:v>城镇、山林、室内、雨夜和人群环境声及过渡</x:v>
      </x:c>
      <x:c r="E153" s="3" t="str">
        <x:v>切场景、昼夜变化和暂停时正确混音与退出</x:v>
      </x:c>
      <x:c r="F153" s="6" t="str">
        <x:v>B06,D01</x:v>
      </x:c>
      <x:c r="G153" s="16" t="str">
        <x:v>S2</x:v>
      </x:c>
      <x:c r="H153" s="16" t="str">
        <x:v>必需</x:v>
      </x:c>
      <x:c r="I153" s="3" t="str">
        <x:v>音频／叙事演出</x:v>
      </x:c>
      <x:c r="J153" s="3" t="str">
        <x:v>新增</x:v>
      </x:c>
      <x:c r="K153" s="17" t="str">
        <x:v>未开始</x:v>
      </x:c>
      <x:c r="L153" s="17" t="str"/>
      <x:c r="M153" s="18"/>
      <x:c r="N153" s="18"/>
    </x:row>
    <x:row r="154" ht="76" customHeight="1">
      <x:c r="A154" s="12" t="str">
        <x:v>S04</x:v>
      </x:c>
      <x:c r="B154" s="11" t="str">
        <x:v>声音与演出</x:v>
      </x:c>
      <x:c r="C154" s="11" t="str">
        <x:v>音乐与情绪状态</x:v>
      </x:c>
      <x:c r="D154" s="11" t="str">
        <x:v>区域主题、战斗、紧张、探索及事件转场规则</x:v>
      </x:c>
      <x:c r="E154" s="11" t="str">
        <x:v>状态变化平滑，无频繁重启或两首音乐叠播</x:v>
      </x:c>
      <x:c r="F154" s="14" t="str">
        <x:v>S01,I06</x:v>
      </x:c>
      <x:c r="G154" s="15" t="str">
        <x:v>S2</x:v>
      </x:c>
      <x:c r="H154" s="15" t="str">
        <x:v>必需</x:v>
      </x:c>
      <x:c r="I154" s="11" t="str">
        <x:v>音频／叙事演出</x:v>
      </x:c>
      <x:c r="J154" s="11" t="str">
        <x:v>新增</x:v>
      </x:c>
      <x:c r="K154" s="17" t="str">
        <x:v>未开始</x:v>
      </x:c>
      <x:c r="L154" s="17" t="str"/>
      <x:c r="M154" s="18"/>
      <x:c r="N154" s="18"/>
    </x:row>
    <x:row r="155" ht="76" customHeight="1">
      <x:c r="A155" s="13" t="str">
        <x:v>S05</x:v>
      </x:c>
      <x:c r="B155" s="3" t="str">
        <x:v>声音与演出</x:v>
      </x:c>
      <x:c r="C155" s="3" t="str">
        <x:v>关键剧情演出与语音范围</x:v>
      </x:c>
      <x:c r="D155" s="3" t="str">
        <x:v>首发重点演出清单、分镜及部分语音预算决策</x:v>
      </x:c>
      <x:c r="E155" s="3" t="str">
        <x:v>只承诺已排期的演出和语音，文本修改成本明确</x:v>
      </x:c>
      <x:c r="F155" s="6" t="str">
        <x:v>S01,J04,P06</x:v>
      </x:c>
      <x:c r="G155" s="16" t="str">
        <x:v>S2</x:v>
      </x:c>
      <x:c r="H155" s="16" t="str">
        <x:v>必需</x:v>
      </x:c>
      <x:c r="I155" s="3" t="str">
        <x:v>音频／叙事演出</x:v>
      </x:c>
      <x:c r="J155" s="3" t="str">
        <x:v>新增</x:v>
      </x:c>
      <x:c r="K155" s="17" t="str">
        <x:v>未开始</x:v>
      </x:c>
      <x:c r="L155" s="17" t="str"/>
      <x:c r="M155" s="18"/>
      <x:c r="N155" s="18"/>
    </x:row>
    <x:row r="156" ht="76" customHeight="1">
      <x:c r="A156" s="12" t="str">
        <x:v>S06</x:v>
      </x:c>
      <x:c r="B156" s="11" t="str">
        <x:v>声音与演出</x:v>
      </x:c>
      <x:c r="C156" s="11" t="str">
        <x:v>音量设置与资产验收</x:v>
      </x:c>
      <x:c r="D156" s="11" t="str">
        <x:v>总线、响度、字幕、静音、授权信息及资源检查</x:v>
      </x:c>
      <x:c r="E156" s="11" t="str">
        <x:v>长时间游玩无明显音量疲劳，缺失或重复播放可定位</x:v>
      </x:c>
      <x:c r="F156" s="14" t="str">
        <x:v>S02,S03,S04,S05,R07</x:v>
      </x:c>
      <x:c r="G156" s="15" t="str">
        <x:v>S3</x:v>
      </x:c>
      <x:c r="H156" s="15" t="str">
        <x:v>必需</x:v>
      </x:c>
      <x:c r="I156" s="11" t="str">
        <x:v>音频／叙事演出</x:v>
      </x:c>
      <x:c r="J156" s="11" t="str">
        <x:v>新增</x:v>
      </x:c>
      <x:c r="K156" s="17" t="str">
        <x:v>未开始</x:v>
      </x:c>
      <x:c r="L156" s="17" t="str"/>
      <x:c r="M156" s="18"/>
      <x:c r="N156" s="18"/>
    </x:row>
    <x:row r="157" ht="76" customHeight="1">
      <x:c r="A157" s="13" t="str">
        <x:v>T01</x:v>
      </x:c>
      <x:c r="B157" s="3" t="str">
        <x:v>数据与架构</x:v>
      </x:c>
      <x:c r="C157" s="3" t="str">
        <x:v>领域数据与稳定ID</x:v>
      </x:c>
      <x:c r="D157" s="3" t="str">
        <x:v>角色、地图、物品、门派、任务、事件的ID和引用规范</x:v>
      </x:c>
      <x:c r="E157" s="3" t="str">
        <x:v>数据不依附剧情画面名，引用可全量校验</x:v>
      </x:c>
      <x:c r="F157" s="6" t="str">
        <x:v>A03,A07</x:v>
      </x:c>
      <x:c r="G157" s="16" t="str">
        <x:v>S0</x:v>
      </x:c>
      <x:c r="H157" s="16" t="str">
        <x:v>必需</x:v>
      </x:c>
      <x:c r="I157" s="3" t="str">
        <x:v>技术负责人／系统程序</x:v>
      </x:c>
      <x:c r="J157" s="3" t="str">
        <x:v>重构</x:v>
      </x:c>
      <x:c r="K157" s="17" t="str">
        <x:v>未开始</x:v>
      </x:c>
      <x:c r="L157" s="17" t="str"/>
      <x:c r="M157" s="18"/>
      <x:c r="N157" s="18"/>
    </x:row>
    <x:row r="158" ht="76" customHeight="1">
      <x:c r="A158" s="12" t="str">
        <x:v>T02</x:v>
      </x:c>
      <x:c r="B158" s="11" t="str">
        <x:v>数据与架构</x:v>
      </x:c>
      <x:c r="C158" s="11" t="str">
        <x:v>权威世界状态与命令层</x:v>
      </x:c>
      <x:c r="D158" s="11" t="str">
        <x:v>纯规则层、状态仓库、查询、命令、事务及表现适配</x:v>
      </x:c>
      <x:c r="E158" s="11" t="str">
        <x:v>渲染不直接改世界；命令校验和提交能独立运行</x:v>
      </x:c>
      <x:c r="F158" s="14" t="str">
        <x:v>T01</x:v>
      </x:c>
      <x:c r="G158" s="15" t="str">
        <x:v>S1</x:v>
      </x:c>
      <x:c r="H158" s="15" t="str">
        <x:v>必需</x:v>
      </x:c>
      <x:c r="I158" s="11" t="str">
        <x:v>技术负责人／系统程序</x:v>
      </x:c>
      <x:c r="J158" s="11" t="str">
        <x:v>重构</x:v>
      </x:c>
      <x:c r="K158" s="17" t="str">
        <x:v>未开始</x:v>
      </x:c>
      <x:c r="L158" s="17" t="str"/>
      <x:c r="M158" s="18"/>
      <x:c r="N158" s="18"/>
    </x:row>
    <x:row r="159" ht="76" customHeight="1">
      <x:c r="A159" s="13" t="str">
        <x:v>T03</x:v>
      </x:c>
      <x:c r="B159" s="3" t="str">
        <x:v>数据与架构</x:v>
      </x:c>
      <x:c r="C159" s="3" t="str">
        <x:v>条件效果与事件服务</x:v>
      </x:c>
      <x:c r="D159" s="3" t="str">
        <x:v>可组合条件、效果、事件日志、订阅和幂等键</x:v>
      </x:c>
      <x:c r="E159" s="3" t="str">
        <x:v>循环触发可控；重放和读档不重复奖励</x:v>
      </x:c>
      <x:c r="F159" s="6" t="str">
        <x:v>T02</x:v>
      </x:c>
      <x:c r="G159" s="16" t="str">
        <x:v>S1</x:v>
      </x:c>
      <x:c r="H159" s="16" t="str">
        <x:v>必需</x:v>
      </x:c>
      <x:c r="I159" s="3" t="str">
        <x:v>技术负责人／系统程序</x:v>
      </x:c>
      <x:c r="J159" s="3" t="str">
        <x:v>重构</x:v>
      </x:c>
      <x:c r="K159" s="17" t="str">
        <x:v>未开始</x:v>
      </x:c>
      <x:c r="L159" s="17" t="str"/>
      <x:c r="M159" s="18"/>
      <x:c r="N159" s="18"/>
    </x:row>
    <x:row r="160" ht="76" customHeight="1">
      <x:c r="A160" s="12" t="str">
        <x:v>T04</x:v>
      </x:c>
      <x:c r="B160" s="11" t="str">
        <x:v>数据与架构</x:v>
      </x:c>
      <x:c r="C160" s="11" t="str">
        <x:v>随机源与重放</x:v>
      </x:c>
      <x:c r="D160" s="11" t="str">
        <x:v>分域随机种子、命令记录和可重现故障存档</x:v>
      </x:c>
      <x:c r="E160" s="11" t="str">
        <x:v>相同版本与输入可复现关键战斗、掉落及世界事件</x:v>
      </x:c>
      <x:c r="F160" s="14" t="str">
        <x:v>T02</x:v>
      </x:c>
      <x:c r="G160" s="15" t="str">
        <x:v>S1</x:v>
      </x:c>
      <x:c r="H160" s="15" t="str">
        <x:v>必需</x:v>
      </x:c>
      <x:c r="I160" s="11" t="str">
        <x:v>技术负责人／系统程序</x:v>
      </x:c>
      <x:c r="J160" s="11" t="str">
        <x:v>重构</x:v>
      </x:c>
      <x:c r="K160" s="17" t="str">
        <x:v>未开始</x:v>
      </x:c>
      <x:c r="L160" s="17" t="str"/>
      <x:c r="M160" s="18"/>
      <x:c r="N160" s="18"/>
    </x:row>
    <x:row r="161" ht="76" customHeight="1">
      <x:c r="A161" s="13" t="str">
        <x:v>T05</x:v>
      </x:c>
      <x:c r="B161" s="3" t="str">
        <x:v>数据与架构</x:v>
      </x:c>
      <x:c r="C161" s="3" t="str">
        <x:v>存档迁移与恢复</x:v>
      </x:c>
      <x:c r="D161" s="3" t="str">
        <x:v>版本化状态、自动存档、备份、迁移器和失败恢复</x:v>
      </x:c>
      <x:c r="E161" s="3" t="str">
        <x:v>旧样本可迁移；写入中断不损坏上一份有效存档</x:v>
      </x:c>
      <x:c r="F161" s="6" t="str">
        <x:v>T02,T04,A02</x:v>
      </x:c>
      <x:c r="G161" s="16" t="str">
        <x:v>S1</x:v>
      </x:c>
      <x:c r="H161" s="16" t="str">
        <x:v>必需</x:v>
      </x:c>
      <x:c r="I161" s="3" t="str">
        <x:v>技术负责人／系统程序</x:v>
      </x:c>
      <x:c r="J161" s="3" t="str">
        <x:v>重构</x:v>
      </x:c>
      <x:c r="K161" s="17" t="str">
        <x:v>未开始</x:v>
      </x:c>
      <x:c r="L161" s="17" t="str"/>
      <x:c r="M161" s="18"/>
      <x:c r="N161" s="18"/>
    </x:row>
    <x:row r="162" ht="76" customHeight="1">
      <x:c r="A162" s="12" t="str">
        <x:v>T06</x:v>
      </x:c>
      <x:c r="B162" s="11" t="str">
        <x:v>数据与架构</x:v>
      </x:c>
      <x:c r="C162" s="11" t="str">
        <x:v>资源加载与性能观测</x:v>
      </x:c>
      <x:c r="D162" s="11" t="str">
        <x:v>分区加载、图集、缓存、帧时、内存和诊断指标</x:v>
      </x:c>
      <x:c r="E162" s="11" t="str">
        <x:v>目标硬件预算有实测报告，资源可定位到地图与角色</x:v>
      </x:c>
      <x:c r="F162" s="14" t="str">
        <x:v>A07,T01</x:v>
      </x:c>
      <x:c r="G162" s="15" t="str">
        <x:v>S1</x:v>
      </x:c>
      <x:c r="H162" s="15" t="str">
        <x:v>必需</x:v>
      </x:c>
      <x:c r="I162" s="11" t="str">
        <x:v>技术负责人／系统程序</x:v>
      </x:c>
      <x:c r="J162" s="11" t="str">
        <x:v>重构</x:v>
      </x:c>
      <x:c r="K162" s="17" t="str">
        <x:v>未开始</x:v>
      </x:c>
      <x:c r="L162" s="17" t="str"/>
      <x:c r="M162" s="18"/>
      <x:c r="N162" s="18"/>
    </x:row>
    <x:row r="163" ht="76" customHeight="1">
      <x:c r="A163" s="13" t="str">
        <x:v>T07</x:v>
      </x:c>
      <x:c r="B163" s="3" t="str">
        <x:v>数据与架构</x:v>
      </x:c>
      <x:c r="C163" s="3" t="str">
        <x:v>构建与持续集成</x:v>
      </x:c>
      <x:c r="D163" s="3" t="str">
        <x:v>规则测试、数据校验、资源检查、可安装包和版本号</x:v>
      </x:c>
      <x:c r="E163" s="3" t="str">
        <x:v>每次候选包有可追溯源码、数据及资源版本</x:v>
      </x:c>
      <x:c r="F163" s="6" t="str">
        <x:v>T01,A08</x:v>
      </x:c>
      <x:c r="G163" s="16" t="str">
        <x:v>S1</x:v>
      </x:c>
      <x:c r="H163" s="16" t="str">
        <x:v>必需</x:v>
      </x:c>
      <x:c r="I163" s="3" t="str">
        <x:v>技术负责人／系统程序</x:v>
      </x:c>
      <x:c r="J163" s="3" t="str">
        <x:v>重构</x:v>
      </x:c>
      <x:c r="K163" s="17" t="str">
        <x:v>未开始</x:v>
      </x:c>
      <x:c r="L163" s="17" t="str"/>
      <x:c r="M163" s="18"/>
      <x:c r="N163" s="18"/>
    </x:row>
    <x:row r="164" ht="76" customHeight="1">
      <x:c r="A164" s="12" t="str">
        <x:v>T08</x:v>
      </x:c>
      <x:c r="B164" s="11" t="str">
        <x:v>数据与架构</x:v>
      </x:c>
      <x:c r="C164" s="11" t="str">
        <x:v>旧内容迁移与兼容策略</x:v>
      </x:c>
      <x:c r="D164" s="11" t="str">
        <x:v>旧存档字段、剧情模块、规则数据和废弃代码映射</x:v>
      </x:c>
      <x:c r="E164" s="11" t="str">
        <x:v>逐项标记迁移、重写或退役；不混用旧新双重状态源</x:v>
      </x:c>
      <x:c r="F164" s="14" t="str">
        <x:v>T02,T05,J01</x:v>
      </x:c>
      <x:c r="G164" s="15" t="str">
        <x:v>S2</x:v>
      </x:c>
      <x:c r="H164" s="15" t="str">
        <x:v>必需</x:v>
      </x:c>
      <x:c r="I164" s="11" t="str">
        <x:v>技术负责人／系统程序</x:v>
      </x:c>
      <x:c r="J164" s="11" t="str">
        <x:v>重构</x:v>
      </x:c>
      <x:c r="K164" s="17" t="str">
        <x:v>未开始</x:v>
      </x:c>
      <x:c r="L164" s="17" t="str"/>
      <x:c r="M164" s="18"/>
      <x:c r="N164" s="18"/>
    </x:row>
    <x:row r="165" ht="76" customHeight="1">
      <x:c r="A165" s="13" t="str">
        <x:v>T09</x:v>
      </x:c>
      <x:c r="B165" s="3" t="str">
        <x:v>数据与架构</x:v>
      </x:c>
      <x:c r="C165" s="3" t="str">
        <x:v>调试与发布诊断</x:v>
      </x:c>
      <x:c r="D165" s="3" t="str">
        <x:v>状态查看、命令控制台、事件轨迹、错误档和版本诊断</x:v>
      </x:c>
      <x:c r="E165" s="3" t="str">
        <x:v>QA可导出最小复现；玩家隐私字段不进入非必要日志</x:v>
      </x:c>
      <x:c r="F165" s="6" t="str">
        <x:v>T03,T04,T05</x:v>
      </x:c>
      <x:c r="G165" s="16" t="str">
        <x:v>S2</x:v>
      </x:c>
      <x:c r="H165" s="16" t="str">
        <x:v>必需</x:v>
      </x:c>
      <x:c r="I165" s="3" t="str">
        <x:v>技术负责人／系统程序</x:v>
      </x:c>
      <x:c r="J165" s="3" t="str">
        <x:v>重构</x:v>
      </x:c>
      <x:c r="K165" s="17" t="str">
        <x:v>未开始</x:v>
      </x:c>
      <x:c r="L165" s="17" t="str"/>
      <x:c r="M165" s="18"/>
      <x:c r="N165" s="18"/>
    </x:row>
    <x:row r="166" ht="76" customHeight="1">
      <x:c r="A166" s="12" t="str">
        <x:v>U01</x:v>
      </x:c>
      <x:c r="B166" s="11" t="str">
        <x:v>内容制作工具</x:v>
      </x:c>
      <x:c r="C166" s="11" t="str">
        <x:v>内容表与自动校验</x:v>
      </x:c>
      <x:c r="D166" s="11" t="str">
        <x:v>结构化数据表、字段约束、引用校验和导出器</x:v>
      </x:c>
      <x:c r="E166" s="11" t="str">
        <x:v>缺失ID、环形依赖和非法枚举在构建前可发现</x:v>
      </x:c>
      <x:c r="F166" s="14" t="str">
        <x:v>T01,T07</x:v>
      </x:c>
      <x:c r="G166" s="15" t="str">
        <x:v>S1</x:v>
      </x:c>
      <x:c r="H166" s="15" t="str">
        <x:v>必需</x:v>
      </x:c>
      <x:c r="I166" s="11" t="str">
        <x:v>工具程序／技术策划</x:v>
      </x:c>
      <x:c r="J166" s="11" t="str">
        <x:v>新增</x:v>
      </x:c>
      <x:c r="K166" s="17" t="str">
        <x:v>未开始</x:v>
      </x:c>
      <x:c r="L166" s="17" t="str"/>
      <x:c r="M166" s="18"/>
      <x:c r="N166" s="18"/>
    </x:row>
    <x:row r="167" ht="76" customHeight="1">
      <x:c r="A167" s="13" t="str">
        <x:v>U02</x:v>
      </x:c>
      <x:c r="B167" s="3" t="str">
        <x:v>内容制作工具</x:v>
      </x:c>
      <x:c r="C167" s="3" t="str">
        <x:v>地图与交互配置工具</x:v>
      </x:c>
      <x:c r="D167" s="3" t="str">
        <x:v>碰撞、遮挡、出口、NPC点、任务触发和天气预览</x:v>
      </x:c>
      <x:c r="E167" s="3" t="str">
        <x:v>策划可独立改场景并在运行时预览，无需改主程序</x:v>
      </x:c>
      <x:c r="F167" s="6" t="str">
        <x:v>U01,B02</x:v>
      </x:c>
      <x:c r="G167" s="16" t="str">
        <x:v>S1</x:v>
      </x:c>
      <x:c r="H167" s="16" t="str">
        <x:v>必需</x:v>
      </x:c>
      <x:c r="I167" s="3" t="str">
        <x:v>工具程序／技术策划</x:v>
      </x:c>
      <x:c r="J167" s="3" t="str">
        <x:v>新增</x:v>
      </x:c>
      <x:c r="K167" s="17" t="str">
        <x:v>未开始</x:v>
      </x:c>
      <x:c r="L167" s="17" t="str"/>
      <x:c r="M167" s="18"/>
      <x:c r="N167" s="18"/>
    </x:row>
    <x:row r="168" ht="76" customHeight="1">
      <x:c r="A168" s="12" t="str">
        <x:v>U03</x:v>
      </x:c>
      <x:c r="B168" s="11" t="str">
        <x:v>内容制作工具</x:v>
      </x:c>
      <x:c r="C168" s="11" t="str">
        <x:v>NPC日程与关系工具</x:v>
      </x:c>
      <x:c r="D168" s="11" t="str">
        <x:v>人物档案、日程时间轴、位置预览和关系条件编辑</x:v>
      </x:c>
      <x:c r="E168" s="11" t="str">
        <x:v>可快速定位NPC为什么缺席、拒绝或敌对</x:v>
      </x:c>
      <x:c r="F168" s="14" t="str">
        <x:v>U01,E01,D03</x:v>
      </x:c>
      <x:c r="G168" s="15" t="str">
        <x:v>S2</x:v>
      </x:c>
      <x:c r="H168" s="15" t="str">
        <x:v>必需</x:v>
      </x:c>
      <x:c r="I168" s="11" t="str">
        <x:v>工具程序／技术策划</x:v>
      </x:c>
      <x:c r="J168" s="11" t="str">
        <x:v>新增</x:v>
      </x:c>
      <x:c r="K168" s="17" t="str">
        <x:v>未开始</x:v>
      </x:c>
      <x:c r="L168" s="17" t="str"/>
      <x:c r="M168" s="18"/>
      <x:c r="N168" s="18"/>
    </x:row>
    <x:row r="169" ht="76" customHeight="1">
      <x:c r="A169" s="13" t="str">
        <x:v>U04</x:v>
      </x:c>
      <x:c r="B169" s="3" t="str">
        <x:v>内容制作工具</x:v>
      </x:c>
      <x:c r="C169" s="3" t="str">
        <x:v>任务对白与分支工具</x:v>
      </x:c>
      <x:c r="D169" s="3" t="str">
        <x:v>任务图、对话条件、排他、奖励、失效和分支检查</x:v>
      </x:c>
      <x:c r="E169" s="3" t="str">
        <x:v>能发现不可达节点、悬空任务及重复奖励风险</x:v>
      </x:c>
      <x:c r="F169" s="6" t="str">
        <x:v>U01,J01,T03</x:v>
      </x:c>
      <x:c r="G169" s="16" t="str">
        <x:v>S1</x:v>
      </x:c>
      <x:c r="H169" s="16" t="str">
        <x:v>必需</x:v>
      </x:c>
      <x:c r="I169" s="3" t="str">
        <x:v>工具程序／技术策划</x:v>
      </x:c>
      <x:c r="J169" s="3" t="str">
        <x:v>新增</x:v>
      </x:c>
      <x:c r="K169" s="17" t="str">
        <x:v>未开始</x:v>
      </x:c>
      <x:c r="L169" s="17" t="str"/>
      <x:c r="M169" s="18"/>
      <x:c r="N169" s="18"/>
    </x:row>
    <x:row r="170" ht="76" customHeight="1">
      <x:c r="A170" s="12" t="str">
        <x:v>U05</x:v>
      </x:c>
      <x:c r="B170" s="11" t="str">
        <x:v>内容制作工具</x:v>
      </x:c>
      <x:c r="C170" s="11" t="str">
        <x:v>技能物品与经济工具</x:v>
      </x:c>
      <x:c r="D170" s="11" t="str">
        <x:v>技能范围预览、属性计算、掉落和商店配置编辑</x:v>
      </x:c>
      <x:c r="E170" s="11" t="str">
        <x:v>修改可预览并校验，数值策划无需编写业务代码</x:v>
      </x:c>
      <x:c r="F170" s="14" t="str">
        <x:v>U01,H01,L01</x:v>
      </x:c>
      <x:c r="G170" s="15" t="str">
        <x:v>S2</x:v>
      </x:c>
      <x:c r="H170" s="15" t="str">
        <x:v>必需</x:v>
      </x:c>
      <x:c r="I170" s="11" t="str">
        <x:v>工具程序／技术策划</x:v>
      </x:c>
      <x:c r="J170" s="11" t="str">
        <x:v>新增</x:v>
      </x:c>
      <x:c r="K170" s="17" t="str">
        <x:v>未开始</x:v>
      </x:c>
      <x:c r="L170" s="17" t="str"/>
      <x:c r="M170" s="18"/>
      <x:c r="N170" s="18"/>
    </x:row>
    <x:row r="171" ht="76" customHeight="1">
      <x:c r="A171" s="13" t="str">
        <x:v>U06</x:v>
      </x:c>
      <x:c r="B171" s="3" t="str">
        <x:v>内容制作工具</x:v>
      </x:c>
      <x:c r="C171" s="3" t="str">
        <x:v>资产导入与自动预览</x:v>
      </x:c>
      <x:c r="D171" s="3" t="str">
        <x:v>锚点、图集、命名、方向、动作、事件和授权信息检查</x:v>
      </x:c>
      <x:c r="E171" s="3" t="str">
        <x:v>批量导入后可播放全部方向与状态，缺项自动报错</x:v>
      </x:c>
      <x:c r="F171" s="6" t="str">
        <x:v>U01,P02,O02</x:v>
      </x:c>
      <x:c r="G171" s="16" t="str">
        <x:v>S2</x:v>
      </x:c>
      <x:c r="H171" s="16" t="str">
        <x:v>必需</x:v>
      </x:c>
      <x:c r="I171" s="3" t="str">
        <x:v>工具程序／技术策划</x:v>
      </x:c>
      <x:c r="J171" s="3" t="str">
        <x:v>新增</x:v>
      </x:c>
      <x:c r="K171" s="17" t="str">
        <x:v>未开始</x:v>
      </x:c>
      <x:c r="L171" s="17" t="str"/>
      <x:c r="M171" s="18"/>
      <x:c r="N171" s="18"/>
    </x:row>
    <x:row r="172" ht="76" customHeight="1">
      <x:c r="A172" s="12" t="str">
        <x:v>U07</x:v>
      </x:c>
      <x:c r="B172" s="11" t="str">
        <x:v>内容制作工具</x:v>
      </x:c>
      <x:c r="C172" s="11" t="str">
        <x:v>QA场景与状态快照</x:v>
      </x:c>
      <x:c r="D172" s="11" t="str">
        <x:v>任意地区、队伍、关系、时间和剧情阶段的测试入口</x:v>
      </x:c>
      <x:c r="E172" s="11" t="str">
        <x:v>复杂事件可一步构造，无需反复从头游玩</x:v>
      </x:c>
      <x:c r="F172" s="14" t="str">
        <x:v>T09,U01</x:v>
      </x:c>
      <x:c r="G172" s="15" t="str">
        <x:v>S2</x:v>
      </x:c>
      <x:c r="H172" s="15" t="str">
        <x:v>必需</x:v>
      </x:c>
      <x:c r="I172" s="11" t="str">
        <x:v>工具程序／技术策划</x:v>
      </x:c>
      <x:c r="J172" s="11" t="str">
        <x:v>新增</x:v>
      </x:c>
      <x:c r="K172" s="17" t="str">
        <x:v>未开始</x:v>
      </x:c>
      <x:c r="L172" s="17" t="str"/>
      <x:c r="M172" s="18"/>
      <x:c r="N172" s="18"/>
    </x:row>
    <x:row r="173" ht="76" customHeight="1">
      <x:c r="A173" s="13" t="str">
        <x:v>U08</x:v>
      </x:c>
      <x:c r="B173" s="3" t="str">
        <x:v>内容制作工具</x:v>
      </x:c>
      <x:c r="C173" s="3" t="str">
        <x:v>内容生产规范与培训</x:v>
      </x:c>
      <x:c r="D173" s="3" t="str">
        <x:v>模板、例子、审核清单、错误定位和交接文档</x:v>
      </x:c>
      <x:c r="E173" s="3" t="str">
        <x:v>第二名制作者可独立完成并提交一条多解任务</x:v>
      </x:c>
      <x:c r="F173" s="6" t="str">
        <x:v>U02,U03,U04,U05,U06</x:v>
      </x:c>
      <x:c r="G173" s="16" t="str">
        <x:v>S2</x:v>
      </x:c>
      <x:c r="H173" s="16" t="str">
        <x:v>必需</x:v>
      </x:c>
      <x:c r="I173" s="3" t="str">
        <x:v>工具程序／技术策划</x:v>
      </x:c>
      <x:c r="J173" s="3" t="str">
        <x:v>新增</x:v>
      </x:c>
      <x:c r="K173" s="17" t="str">
        <x:v>未开始</x:v>
      </x:c>
      <x:c r="L173" s="17" t="str"/>
      <x:c r="M173" s="18"/>
      <x:c r="N173" s="18"/>
    </x:row>
    <x:row r="174" ht="76" customHeight="1">
      <x:c r="A174" s="12" t="str">
        <x:v>V01</x:v>
      </x:c>
      <x:c r="B174" s="11" t="str">
        <x:v>QA与平衡</x:v>
      </x:c>
      <x:c r="C174" s="11" t="str">
        <x:v>需求到验收的映射</x:v>
      </x:c>
      <x:c r="D174" s="11" t="str">
        <x:v>系统需求、内容包、风险、用例和验收负责人表</x:v>
      </x:c>
      <x:c r="E174" s="11" t="str">
        <x:v>每个首发工作包都能找到可执行的完成判据</x:v>
      </x:c>
      <x:c r="F174" s="14" t="str">
        <x:v>A08,A06</x:v>
      </x:c>
      <x:c r="G174" s="15" t="str">
        <x:v>S0</x:v>
      </x:c>
      <x:c r="H174" s="15" t="str">
        <x:v>必需</x:v>
      </x:c>
      <x:c r="I174" s="11" t="str">
        <x:v>QA／体验研究／数值</x:v>
      </x:c>
      <x:c r="J174" s="11" t="str">
        <x:v>新增</x:v>
      </x:c>
      <x:c r="K174" s="17" t="str">
        <x:v>未开始</x:v>
      </x:c>
      <x:c r="L174" s="17" t="str"/>
      <x:c r="M174" s="18"/>
      <x:c r="N174" s="18"/>
    </x:row>
    <x:row r="175" ht="76" customHeight="1">
      <x:c r="A175" s="13" t="str">
        <x:v>V02</x:v>
      </x:c>
      <x:c r="B175" s="3" t="str">
        <x:v>QA与平衡</x:v>
      </x:c>
      <x:c r="C175" s="3" t="str">
        <x:v>规则与命令测试</x:v>
      </x:c>
      <x:c r="D175" s="3" t="str">
        <x:v>条件效果、库存、时间、武学、关系和战斗的边界用例</x:v>
      </x:c>
      <x:c r="E175" s="3" t="str">
        <x:v>重点测试事务与状态转换，而非只检查界面出现</x:v>
      </x:c>
      <x:c r="F175" s="6" t="str">
        <x:v>T02,C03,I02</x:v>
      </x:c>
      <x:c r="G175" s="16" t="str">
        <x:v>S1</x:v>
      </x:c>
      <x:c r="H175" s="16" t="str">
        <x:v>必需</x:v>
      </x:c>
      <x:c r="I175" s="3" t="str">
        <x:v>QA／体验研究／数值</x:v>
      </x:c>
      <x:c r="J175" s="3" t="str">
        <x:v>新增</x:v>
      </x:c>
      <x:c r="K175" s="17" t="str">
        <x:v>未开始</x:v>
      </x:c>
      <x:c r="L175" s="17" t="str"/>
      <x:c r="M175" s="18"/>
      <x:c r="N175" s="18"/>
    </x:row>
    <x:row r="176" ht="76" customHeight="1">
      <x:c r="A176" s="12" t="str">
        <x:v>V03</x:v>
      </x:c>
      <x:c r="B176" s="11" t="str">
        <x:v>QA与平衡</x:v>
      </x:c>
      <x:c r="C176" s="11" t="str">
        <x:v>存档与长期世界测试</x:v>
      </x:c>
      <x:c r="D176" s="11" t="str">
        <x:v>跨日、退出、坏档恢复、版本升级及长流程存档集</x:v>
      </x:c>
      <x:c r="E176" s="11" t="str">
        <x:v>人物、物品、任务和事件在存读档后保持一致</x:v>
      </x:c>
      <x:c r="F176" s="14" t="str">
        <x:v>T05,D04,L01</x:v>
      </x:c>
      <x:c r="G176" s="15" t="str">
        <x:v>S2</x:v>
      </x:c>
      <x:c r="H176" s="15" t="str">
        <x:v>必需</x:v>
      </x:c>
      <x:c r="I176" s="11" t="str">
        <x:v>QA／体验研究／数值</x:v>
      </x:c>
      <x:c r="J176" s="11" t="str">
        <x:v>新增</x:v>
      </x:c>
      <x:c r="K176" s="17" t="str">
        <x:v>未开始</x:v>
      </x:c>
      <x:c r="L176" s="17" t="str"/>
      <x:c r="M176" s="18"/>
      <x:c r="N176" s="18"/>
    </x:row>
    <x:row r="177" ht="76" customHeight="1">
      <x:c r="A177" s="13" t="str">
        <x:v>V04</x:v>
      </x:c>
      <x:c r="B177" s="3" t="str">
        <x:v>QA与平衡</x:v>
      </x:c>
      <x:c r="C177" s="3" t="str">
        <x:v>任务与顺序组合测试</x:v>
      </x:c>
      <x:c r="D177" s="3" t="str">
        <x:v>提前拿物、晚接任务、NPC入队死亡和阵营切换矩阵</x:v>
      </x:c>
      <x:c r="E177" s="3" t="str">
        <x:v>所有关键依赖都有至少一个异常顺序用例</x:v>
      </x:c>
      <x:c r="F177" s="6" t="str">
        <x:v>J05,J06,N03,G02,U07</x:v>
      </x:c>
      <x:c r="G177" s="16" t="str">
        <x:v>S2</x:v>
      </x:c>
      <x:c r="H177" s="16" t="str">
        <x:v>必需</x:v>
      </x:c>
      <x:c r="I177" s="3" t="str">
        <x:v>QA／体验研究／数值</x:v>
      </x:c>
      <x:c r="J177" s="3" t="str">
        <x:v>新增</x:v>
      </x:c>
      <x:c r="K177" s="17" t="str">
        <x:v>未开始</x:v>
      </x:c>
      <x:c r="L177" s="17" t="str"/>
      <x:c r="M177" s="18"/>
      <x:c r="N177" s="18"/>
    </x:row>
    <x:row r="178" ht="76" customHeight="1">
      <x:c r="A178" s="12" t="str">
        <x:v>V05</x:v>
      </x:c>
      <x:c r="B178" s="11" t="str">
        <x:v>QA与平衡</x:v>
      </x:c>
      <x:c r="C178" s="11" t="str">
        <x:v>外部玩家体验测试</x:v>
      </x:c>
      <x:c r="D178" s="11" t="str">
        <x:v>开局、找路、任务理解、首战、失败与回访观察记录</x:v>
      </x:c>
      <x:c r="E178" s="11" t="str">
        <x:v>使用目标玩家实玩数据，不以团队熟练度代替体验</x:v>
      </x:c>
      <x:c r="F178" s="14" t="str">
        <x:v>R06,B06,I06</x:v>
      </x:c>
      <x:c r="G178" s="15" t="str">
        <x:v>S1</x:v>
      </x:c>
      <x:c r="H178" s="15" t="str">
        <x:v>必需</x:v>
      </x:c>
      <x:c r="I178" s="11" t="str">
        <x:v>QA／体验研究／数值</x:v>
      </x:c>
      <x:c r="J178" s="11" t="str">
        <x:v>新增</x:v>
      </x:c>
      <x:c r="K178" s="17" t="str">
        <x:v>未开始</x:v>
      </x:c>
      <x:c r="L178" s="17" t="str"/>
      <x:c r="M178" s="18"/>
      <x:c r="N178" s="18"/>
    </x:row>
    <x:row r="179" ht="76" customHeight="1">
      <x:c r="A179" s="13" t="str">
        <x:v>V06</x:v>
      </x:c>
      <x:c r="B179" s="3" t="str">
        <x:v>QA与平衡</x:v>
      </x:c>
      <x:c r="C179" s="3" t="str">
        <x:v>经济构筑与节奏测试</x:v>
      </x:c>
      <x:c r="D179" s="3" t="str">
        <x:v>流派、队伍、装备、收入支出和成长曲线的抽样矩阵</x:v>
      </x:c>
      <x:c r="E179" s="3" t="str">
        <x:v>多条合理路线可完成，无必须刷取的意外数值墙</x:v>
      </x:c>
      <x:c r="F179" s="6" t="str">
        <x:v>H08,L07,F06,I09</x:v>
      </x:c>
      <x:c r="G179" s="16" t="str">
        <x:v>S2</x:v>
      </x:c>
      <x:c r="H179" s="16" t="str">
        <x:v>必需</x:v>
      </x:c>
      <x:c r="I179" s="3" t="str">
        <x:v>QA／体验研究／数值</x:v>
      </x:c>
      <x:c r="J179" s="3" t="str">
        <x:v>新增</x:v>
      </x:c>
      <x:c r="K179" s="17" t="str">
        <x:v>未开始</x:v>
      </x:c>
      <x:c r="L179" s="17" t="str"/>
      <x:c r="M179" s="18"/>
      <x:c r="N179" s="18"/>
    </x:row>
    <x:row r="180" ht="76" customHeight="1">
      <x:c r="A180" s="12" t="str">
        <x:v>V07</x:v>
      </x:c>
      <x:c r="B180" s="11" t="str">
        <x:v>QA与平衡</x:v>
      </x:c>
      <x:c r="C180" s="11" t="str">
        <x:v>设备与性能测试</x:v>
      </x:c>
      <x:c r="D180" s="11" t="str">
        <x:v>目标配置、分辨率、输入设备、读盘及满负载场景</x:v>
      </x:c>
      <x:c r="E180" s="11" t="str">
        <x:v>帧时、内存、加载时间及卡顿达到立项确定预算</x:v>
      </x:c>
      <x:c r="F180" s="14" t="str">
        <x:v>T06,O06,Q06</x:v>
      </x:c>
      <x:c r="G180" s="15" t="str">
        <x:v>S3</x:v>
      </x:c>
      <x:c r="H180" s="15" t="str">
        <x:v>必需</x:v>
      </x:c>
      <x:c r="I180" s="11" t="str">
        <x:v>QA／体验研究／数值</x:v>
      </x:c>
      <x:c r="J180" s="11" t="str">
        <x:v>新增</x:v>
      </x:c>
      <x:c r="K180" s="17" t="str">
        <x:v>未开始</x:v>
      </x:c>
      <x:c r="L180" s="17" t="str"/>
      <x:c r="M180" s="18"/>
      <x:c r="N180" s="18"/>
    </x:row>
    <x:row r="181" ht="76" customHeight="1">
      <x:c r="A181" s="13" t="str">
        <x:v>V08</x:v>
      </x:c>
      <x:c r="B181" s="3" t="str">
        <x:v>QA与平衡</x:v>
      </x:c>
      <x:c r="C181" s="3" t="str">
        <x:v>内容一致性与质量巡检</x:v>
      </x:c>
      <x:c r="D181" s="3" t="str">
        <x:v>文本、头像、动作、音效、地图状态和任务结果检查</x:v>
      </x:c>
      <x:c r="E181" s="3" t="str">
        <x:v>无阻断流程的错配；缺失资产有明确阻断等级</x:v>
      </x:c>
      <x:c r="F181" s="6" t="str">
        <x:v>J09,P07,O07,S06</x:v>
      </x:c>
      <x:c r="G181" s="16" t="str">
        <x:v>S3</x:v>
      </x:c>
      <x:c r="H181" s="16" t="str">
        <x:v>必需</x:v>
      </x:c>
      <x:c r="I181" s="3" t="str">
        <x:v>QA／体验研究／数值</x:v>
      </x:c>
      <x:c r="J181" s="3" t="str">
        <x:v>新增</x:v>
      </x:c>
      <x:c r="K181" s="17" t="str">
        <x:v>未开始</x:v>
      </x:c>
      <x:c r="L181" s="17" t="str"/>
      <x:c r="M181" s="18"/>
      <x:c r="N181" s="18"/>
    </x:row>
    <x:row r="182" ht="76" customHeight="1">
      <x:c r="A182" s="12" t="str">
        <x:v>V09</x:v>
      </x:c>
      <x:c r="B182" s="11" t="str">
        <x:v>QA与平衡</x:v>
      </x:c>
      <x:c r="C182" s="11" t="str">
        <x:v>发布候选完整回归</x:v>
      </x:c>
      <x:c r="D182" s="11" t="str">
        <x:v>安装更新、完整通关、主要分支与旧档回归报告</x:v>
      </x:c>
      <x:c r="E182" s="11" t="str">
        <x:v>阻断与严重缺陷清零，其他缺陷经负责人接受</x:v>
      </x:c>
      <x:c r="F182" s="14" t="str">
        <x:v>V03,V04,V06,V07,V08,W03</x:v>
      </x:c>
      <x:c r="G182" s="15" t="str">
        <x:v>S3</x:v>
      </x:c>
      <x:c r="H182" s="15" t="str">
        <x:v>必需</x:v>
      </x:c>
      <x:c r="I182" s="11" t="str">
        <x:v>QA／体验研究／数值</x:v>
      </x:c>
      <x:c r="J182" s="11" t="str">
        <x:v>新增</x:v>
      </x:c>
      <x:c r="K182" s="17" t="str">
        <x:v>未开始</x:v>
      </x:c>
      <x:c r="L182" s="17" t="str"/>
      <x:c r="M182" s="18"/>
      <x:c r="N182" s="18"/>
    </x:row>
    <x:row r="183" ht="76" customHeight="1">
      <x:c r="A183" s="13" t="str">
        <x:v>V10</x:v>
      </x:c>
      <x:c r="B183" s="3" t="str">
        <x:v>QA与平衡</x:v>
      </x:c>
      <x:c r="C183" s="3" t="str">
        <x:v>上线问题复现与修复回归</x:v>
      </x:c>
      <x:c r="D183" s="3" t="str">
        <x:v>缺陷分级、玩家存档、补丁回归及回滚操作规范</x:v>
      </x:c>
      <x:c r="E183" s="3" t="str">
        <x:v>已修复问题进入永久回归集，补丁不破坏有效存档</x:v>
      </x:c>
      <x:c r="F183" s="6" t="str">
        <x:v>V09,T09,W05</x:v>
      </x:c>
      <x:c r="G183" s="16" t="str">
        <x:v>S3</x:v>
      </x:c>
      <x:c r="H183" s="16" t="str">
        <x:v>必需</x:v>
      </x:c>
      <x:c r="I183" s="3" t="str">
        <x:v>QA／体验研究／数值</x:v>
      </x:c>
      <x:c r="J183" s="3" t="str">
        <x:v>新增</x:v>
      </x:c>
      <x:c r="K183" s="17" t="str">
        <x:v>未开始</x:v>
      </x:c>
      <x:c r="L183" s="17" t="str"/>
      <x:c r="M183" s="18"/>
      <x:c r="N183" s="18"/>
    </x:row>
    <x:row r="184" ht="76" customHeight="1">
      <x:c r="A184" s="12" t="str">
        <x:v>W01</x:v>
      </x:c>
      <x:c r="B184" s="11" t="str">
        <x:v>发行与运维</x:v>
      </x:c>
      <x:c r="C184" s="11" t="str">
        <x:v>发行路线与商店准备</x:v>
      </x:c>
      <x:c r="D184" s="11" t="str">
        <x:v>目标平台、商店定位、语言、演示版和页面素材计划</x:v>
      </x:c>
      <x:c r="E184" s="11" t="str">
        <x:v>平台要求由负责人核实，宣传承诺与首发范围一致</x:v>
      </x:c>
      <x:c r="F184" s="14" t="str">
        <x:v>A02,A06</x:v>
      </x:c>
      <x:c r="G184" s="15" t="str">
        <x:v>S2</x:v>
      </x:c>
      <x:c r="H184" s="15" t="str">
        <x:v>必需</x:v>
      </x:c>
      <x:c r="I184" s="11" t="str">
        <x:v>制作／发行／QA</x:v>
      </x:c>
      <x:c r="J184" s="11" t="str">
        <x:v>新增</x:v>
      </x:c>
      <x:c r="K184" s="17" t="str">
        <x:v>未开始</x:v>
      </x:c>
      <x:c r="L184" s="17" t="str"/>
      <x:c r="M184" s="18"/>
      <x:c r="N184" s="18"/>
    </x:row>
    <x:row r="185" ht="76" customHeight="1">
      <x:c r="A185" s="13" t="str">
        <x:v>W02</x:v>
      </x:c>
      <x:c r="B185" s="3" t="str">
        <x:v>发行与运维</x:v>
      </x:c>
      <x:c r="C185" s="3" t="str">
        <x:v>可独立交付的演示版</x:v>
      </x:c>
      <x:c r="D185" s="3" t="str">
        <x:v>切片打包、退出点、反馈入口及存档继承策略</x:v>
      </x:c>
      <x:c r="E185" s="3" t="str">
        <x:v>陌生玩家可独立安装游玩并反馈可复现问题</x:v>
      </x:c>
      <x:c r="F185" s="6" t="str">
        <x:v>V05,T07,R06</x:v>
      </x:c>
      <x:c r="G185" s="16" t="str">
        <x:v>S2</x:v>
      </x:c>
      <x:c r="H185" s="16" t="str">
        <x:v>必需</x:v>
      </x:c>
      <x:c r="I185" s="3" t="str">
        <x:v>制作／发行／QA</x:v>
      </x:c>
      <x:c r="J185" s="3" t="str">
        <x:v>新增</x:v>
      </x:c>
      <x:c r="K185" s="17" t="str">
        <x:v>未开始</x:v>
      </x:c>
      <x:c r="L185" s="17" t="str"/>
      <x:c r="M185" s="18"/>
      <x:c r="N185" s="18"/>
    </x:row>
    <x:row r="186" ht="76" customHeight="1">
      <x:c r="A186" s="12" t="str">
        <x:v>W03</x:v>
      </x:c>
      <x:c r="B186" s="11" t="str">
        <x:v>发行与运维</x:v>
      </x:c>
      <x:c r="C186" s="11" t="str">
        <x:v>发行集成与安装更新</x:v>
      </x:c>
      <x:c r="D186" s="11" t="str">
        <x:v>目标平台成就、云存档、安装卸载与控制器说明</x:v>
      </x:c>
      <x:c r="E186" s="11" t="str">
        <x:v>离线可玩；同步冲突与首次启动失败有恢复流程</x:v>
      </x:c>
      <x:c r="F186" s="14" t="str">
        <x:v>T05,T07,W01</x:v>
      </x:c>
      <x:c r="G186" s="15" t="str">
        <x:v>S3</x:v>
      </x:c>
      <x:c r="H186" s="15" t="str">
        <x:v>必需</x:v>
      </x:c>
      <x:c r="I186" s="11" t="str">
        <x:v>制作／发行／QA</x:v>
      </x:c>
      <x:c r="J186" s="11" t="str">
        <x:v>新增</x:v>
      </x:c>
      <x:c r="K186" s="17" t="str">
        <x:v>未开始</x:v>
      </x:c>
      <x:c r="L186" s="17" t="str"/>
      <x:c r="M186" s="18"/>
      <x:c r="N186" s="18"/>
    </x:row>
    <x:row r="187" ht="76" customHeight="1">
      <x:c r="A187" s="13" t="str">
        <x:v>W04</x:v>
      </x:c>
      <x:c r="B187" s="3" t="str">
        <x:v>发行与运维</x:v>
      </x:c>
      <x:c r="C187" s="3" t="str">
        <x:v>商店素材与宣传实机</x:v>
      </x:c>
      <x:c r="D187" s="3" t="str">
        <x:v>截图、预告、说明、功能清单和媒体资料</x:v>
      </x:c>
      <x:c r="E187" s="3" t="str">
        <x:v>展示实际可玩的内容，生成概念图不冒充实机</x:v>
      </x:c>
      <x:c r="F187" s="6" t="str">
        <x:v>W02,O07,P07,I11</x:v>
      </x:c>
      <x:c r="G187" s="16" t="str">
        <x:v>S3</x:v>
      </x:c>
      <x:c r="H187" s="16" t="str">
        <x:v>必需</x:v>
      </x:c>
      <x:c r="I187" s="3" t="str">
        <x:v>制作／发行／QA</x:v>
      </x:c>
      <x:c r="J187" s="3" t="str">
        <x:v>新增</x:v>
      </x:c>
      <x:c r="K187" s="17" t="str">
        <x:v>未开始</x:v>
      </x:c>
      <x:c r="L187" s="17" t="str"/>
      <x:c r="M187" s="18"/>
      <x:c r="N187" s="18"/>
    </x:row>
    <x:row r="188" ht="76" customHeight="1">
      <x:c r="A188" s="12" t="str">
        <x:v>W05</x:v>
      </x:c>
      <x:c r="B188" s="11" t="str">
        <x:v>发行与运维</x:v>
      </x:c>
      <x:c r="C188" s="11" t="str">
        <x:v>补丁与版本策略</x:v>
      </x:c>
      <x:c r="D188" s="11" t="str">
        <x:v>存档兼容窗口、热修流程、版本说明和回滚包</x:v>
      </x:c>
      <x:c r="E188" s="11" t="str">
        <x:v>旧版本退路可执行；修复不依赖破坏玩家进度</x:v>
      </x:c>
      <x:c r="F188" s="14" t="str">
        <x:v>T05,T07,T09</x:v>
      </x:c>
      <x:c r="G188" s="15" t="str">
        <x:v>S3</x:v>
      </x:c>
      <x:c r="H188" s="15" t="str">
        <x:v>必需</x:v>
      </x:c>
      <x:c r="I188" s="11" t="str">
        <x:v>制作／发行／QA</x:v>
      </x:c>
      <x:c r="J188" s="11" t="str">
        <x:v>新增</x:v>
      </x:c>
      <x:c r="K188" s="17" t="str">
        <x:v>未开始</x:v>
      </x:c>
      <x:c r="L188" s="17" t="str"/>
      <x:c r="M188" s="18"/>
      <x:c r="N188" s="18"/>
    </x:row>
    <x:row r="189" ht="76" customHeight="1">
      <x:c r="A189" s="13" t="str">
        <x:v>W06</x:v>
      </x:c>
      <x:c r="B189" s="3" t="str">
        <x:v>发行与运维</x:v>
      </x:c>
      <x:c r="C189" s="3" t="str">
        <x:v>外部资产与AI资产登记</x:v>
      </x:c>
      <x:c r="D189" s="3" t="str">
        <x:v>来源、授权、制作记录、人工修改和可交付源文件清单</x:v>
      </x:c>
      <x:c r="E189" s="3" t="str">
        <x:v>所有进入首发的资源可追溯且通过人工质量审核</x:v>
      </x:c>
      <x:c r="F189" s="6" t="str">
        <x:v>A08,U06</x:v>
      </x:c>
      <x:c r="G189" s="16" t="str">
        <x:v>S2</x:v>
      </x:c>
      <x:c r="H189" s="16" t="str">
        <x:v>必需</x:v>
      </x:c>
      <x:c r="I189" s="3" t="str">
        <x:v>制作／发行／QA</x:v>
      </x:c>
      <x:c r="J189" s="3" t="str">
        <x:v>新增</x:v>
      </x:c>
      <x:c r="K189" s="17" t="str">
        <x:v>未开始</x:v>
      </x:c>
      <x:c r="L189" s="17" t="str"/>
      <x:c r="M189" s="18"/>
      <x:c r="N189" s="18"/>
    </x:row>
    <x:row r="190" ht="76" customHeight="1">
      <x:c r="A190" s="12" t="str">
        <x:v>W07</x:v>
      </x:c>
      <x:c r="B190" s="11" t="str">
        <x:v>发行与运维</x:v>
      </x:c>
      <x:c r="C190" s="11" t="str">
        <x:v>上线与支持准备</x:v>
      </x:c>
      <x:c r="D190" s="11" t="str">
        <x:v>缺陷入口、常见问题、客服材料、发布时间和值班分工</x:v>
      </x:c>
      <x:c r="E190" s="11" t="str">
        <x:v>发现严重问题时能定位负责人、暂停发布和回滚</x:v>
      </x:c>
      <x:c r="F190" s="14" t="str">
        <x:v>W01,W03,W05</x:v>
      </x:c>
      <x:c r="G190" s="15" t="str">
        <x:v>S3</x:v>
      </x:c>
      <x:c r="H190" s="15" t="str">
        <x:v>必需</x:v>
      </x:c>
      <x:c r="I190" s="11" t="str">
        <x:v>制作／发行／QA</x:v>
      </x:c>
      <x:c r="J190" s="11" t="str">
        <x:v>新增</x:v>
      </x:c>
      <x:c r="K190" s="17" t="str">
        <x:v>未开始</x:v>
      </x:c>
      <x:c r="L190" s="17" t="str"/>
      <x:c r="M190" s="18"/>
      <x:c r="N190" s="18"/>
    </x:row>
    <x:row r="191" ht="76" customHeight="1">
      <x:c r="A191" s="13" t="str">
        <x:v>W08</x:v>
      </x:c>
      <x:c r="B191" s="3" t="str">
        <x:v>发行与运维</x:v>
      </x:c>
      <x:c r="C191" s="3" t="str">
        <x:v>首发内容冻结与放行</x:v>
      </x:c>
      <x:c r="D191" s="3" t="str">
        <x:v>内容清单、已知问题、恢复方案及质量签署记录</x:v>
      </x:c>
      <x:c r="E191" s="3" t="str">
        <x:v>通过发布阶段门后才生成正式发布候选</x:v>
      </x:c>
      <x:c r="F191" s="6" t="str">
        <x:v>V09,W04,W06,W07</x:v>
      </x:c>
      <x:c r="G191" s="16" t="str">
        <x:v>S3</x:v>
      </x:c>
      <x:c r="H191" s="16" t="str">
        <x:v>必需</x:v>
      </x:c>
      <x:c r="I191" s="3" t="str">
        <x:v>制作／发行／QA</x:v>
      </x:c>
      <x:c r="J191" s="3" t="str">
        <x:v>新增</x:v>
      </x:c>
      <x:c r="K191" s="17" t="str">
        <x:v>未开始</x:v>
      </x:c>
      <x:c r="L191" s="17" t="str"/>
      <x:c r="M191" s="18"/>
      <x:c r="N191" s="18"/>
    </x:row>
    <x:row r="192" ht="76" customHeight="1">
      <x:c r="A192" s="12" t="str">
        <x:v>X01</x:v>
      </x:c>
      <x:c r="B192" s="11" t="str">
        <x:v>后续扩展候选</x:v>
      </x:c>
      <x:c r="C192" s="11" t="str">
        <x:v>帮派经营与据点争夺</x:v>
      </x:c>
      <x:c r="D192" s="11" t="str">
        <x:v>据点资源、经营、人员和攻防的独立提案</x:v>
      </x:c>
      <x:c r="E192" s="11" t="str">
        <x:v>首发证实势力系统稳定后再评估，单独排期</x:v>
      </x:c>
      <x:c r="F192" s="14" t="str">
        <x:v>F09,D07</x:v>
      </x:c>
      <x:c r="G192" s="15" t="str">
        <x:v>S4</x:v>
      </x:c>
      <x:c r="H192" s="15" t="str">
        <x:v>后续</x:v>
      </x:c>
      <x:c r="I192" s="11" t="str">
        <x:v>制作人／主策</x:v>
      </x:c>
      <x:c r="J192" s="11" t="str">
        <x:v>新增</x:v>
      </x:c>
      <x:c r="K192" s="17" t="str">
        <x:v>未开始</x:v>
      </x:c>
      <x:c r="L192" s="17" t="str"/>
      <x:c r="M192" s="18"/>
      <x:c r="N192" s="18"/>
    </x:row>
    <x:row r="193" ht="76" customHeight="1">
      <x:c r="A193" s="13" t="str">
        <x:v>X02</x:v>
      </x:c>
      <x:c r="B193" s="3" t="str">
        <x:v>后续扩展候选</x:v>
      </x:c>
      <x:c r="C193" s="3" t="str">
        <x:v>深度动态江湖</x:v>
      </x:c>
      <x:c r="D193" s="3" t="str">
        <x:v>更大范围NPC自主行动、势力战争与继任提案</x:v>
      </x:c>
      <x:c r="E193" s="3" t="str">
        <x:v>复杂度与玩家可读性经过区域模拟测试</x:v>
      </x:c>
      <x:c r="F193" s="6" t="str">
        <x:v>E09,D07,F09</x:v>
      </x:c>
      <x:c r="G193" s="16" t="str">
        <x:v>S4</x:v>
      </x:c>
      <x:c r="H193" s="16" t="str">
        <x:v>后续</x:v>
      </x:c>
      <x:c r="I193" s="3" t="str">
        <x:v>制作人／主策</x:v>
      </x:c>
      <x:c r="J193" s="3" t="str">
        <x:v>新增</x:v>
      </x:c>
      <x:c r="K193" s="17" t="str">
        <x:v>未开始</x:v>
      </x:c>
      <x:c r="L193" s="17" t="str"/>
      <x:c r="M193" s="18"/>
      <x:c r="N193" s="18"/>
    </x:row>
    <x:row r="194" ht="76" customHeight="1">
      <x:c r="A194" s="12" t="str">
        <x:v>X03</x:v>
      </x:c>
      <x:c r="B194" s="11" t="str">
        <x:v>后续扩展候选</x:v>
      </x:c>
      <x:c r="C194" s="11" t="str">
        <x:v>第二战斗制式</x:v>
      </x:c>
      <x:c r="D194" s="11" t="str">
        <x:v>即时或半即时模式的规则、AI、输入与平衡验证</x:v>
      </x:c>
      <x:c r="E194" s="11" t="str">
        <x:v>有新增用户价值证据，并承担完整额外回归成本</x:v>
      </x:c>
      <x:c r="F194" s="14" t="str">
        <x:v>I12,V09</x:v>
      </x:c>
      <x:c r="G194" s="15" t="str">
        <x:v>S4</x:v>
      </x:c>
      <x:c r="H194" s="15" t="str">
        <x:v>后续</x:v>
      </x:c>
      <x:c r="I194" s="11" t="str">
        <x:v>制作人／主策</x:v>
      </x:c>
      <x:c r="J194" s="11" t="str">
        <x:v>新增</x:v>
      </x:c>
      <x:c r="K194" s="17" t="str">
        <x:v>未开始</x:v>
      </x:c>
      <x:c r="L194" s="17" t="str"/>
      <x:c r="M194" s="18"/>
      <x:c r="N194" s="18"/>
    </x:row>
    <x:row r="195" ht="76" customHeight="1">
      <x:c r="A195" s="13" t="str">
        <x:v>X04</x:v>
      </x:c>
      <x:c r="B195" s="3" t="str">
        <x:v>后续扩展候选</x:v>
      </x:c>
      <x:c r="C195" s="3" t="str">
        <x:v>更多生活技艺与小游戏</x:v>
      </x:c>
      <x:c r="D195" s="3" t="str">
        <x:v>钓鱼、书画、锻造等独立玩法评估</x:v>
      </x:c>
      <x:c r="E195" s="3" t="str">
        <x:v>有探索或角色价值，制作与维护成本单独成立</x:v>
      </x:c>
      <x:c r="F195" s="6" t="str">
        <x:v>M07,V05</x:v>
      </x:c>
      <x:c r="G195" s="16" t="str">
        <x:v>S4</x:v>
      </x:c>
      <x:c r="H195" s="16" t="str">
        <x:v>后续</x:v>
      </x:c>
      <x:c r="I195" s="3" t="str">
        <x:v>制作人／主策</x:v>
      </x:c>
      <x:c r="J195" s="3" t="str">
        <x:v>新增</x:v>
      </x:c>
      <x:c r="K195" s="17" t="str">
        <x:v>未开始</x:v>
      </x:c>
      <x:c r="L195" s="17" t="str"/>
      <x:c r="M195" s="18"/>
      <x:c r="N195" s="18"/>
    </x:row>
    <x:row r="196" ht="76" customHeight="1">
      <x:c r="A196" s="12" t="str">
        <x:v>X05</x:v>
      </x:c>
      <x:c r="B196" s="11" t="str">
        <x:v>后续扩展候选</x:v>
      </x:c>
      <x:c r="C196" s="11" t="str">
        <x:v>模组支持</x:v>
      </x:c>
      <x:c r="D196" s="11" t="str">
        <x:v>数据接口、内容隔离、版本兼容和崩溃定位方案</x:v>
      </x:c>
      <x:c r="E196" s="11" t="str">
        <x:v>用户模组不损坏本体存档，版本边界可理解</x:v>
      </x:c>
      <x:c r="F196" s="14" t="str">
        <x:v>U08,T05,W05</x:v>
      </x:c>
      <x:c r="G196" s="15" t="str">
        <x:v>S4</x:v>
      </x:c>
      <x:c r="H196" s="15" t="str">
        <x:v>后续</x:v>
      </x:c>
      <x:c r="I196" s="11" t="str">
        <x:v>制作人／主策</x:v>
      </x:c>
      <x:c r="J196" s="11" t="str">
        <x:v>新增</x:v>
      </x:c>
      <x:c r="K196" s="17" t="str">
        <x:v>未开始</x:v>
      </x:c>
      <x:c r="L196" s="17" t="str"/>
      <x:c r="M196" s="18"/>
      <x:c r="N196" s="18"/>
    </x:row>
    <x:row r="197" ht="76" customHeight="1">
      <x:c r="A197" s="13" t="str">
        <x:v>X06</x:v>
      </x:c>
      <x:c r="B197" s="3" t="str">
        <x:v>后续扩展候选</x:v>
      </x:c>
      <x:c r="C197" s="3" t="str">
        <x:v>主机移动与联网扩展</x:v>
      </x:c>
      <x:c r="D197" s="3" t="str">
        <x:v>各平台输入性能验证、同步与服务成本立项</x:v>
      </x:c>
      <x:c r="E197" s="3" t="str">
        <x:v>独立论证，不将联网和移动商业化隐性塞入首发</x:v>
      </x:c>
      <x:c r="F197" s="6" t="str">
        <x:v>A02,V09,W08</x:v>
      </x:c>
      <x:c r="G197" s="16" t="str">
        <x:v>S4</x:v>
      </x:c>
      <x:c r="H197" s="16" t="str">
        <x:v>后续</x:v>
      </x:c>
      <x:c r="I197" s="3" t="str">
        <x:v>制作人／主策</x:v>
      </x:c>
      <x:c r="J197" s="3" t="str">
        <x:v>新增</x:v>
      </x:c>
      <x:c r="K197" s="17" t="str">
        <x:v>未开始</x:v>
      </x:c>
      <x:c r="L197" s="17" t="str"/>
      <x:c r="M197" s="18"/>
      <x:c r="N197" s="18"/>
    </x:row>
  </x:sheetData>
  <x:conditionalFormatting sqref="K6:K197">
    <x:cfRule type="expression" dxfId="0" priority="1">
      <x:formula>$K6="已验收"</x:formula>
    </x:cfRule>
    <x:cfRule type="expression" dxfId="1" priority="2">
      <x:formula>$K6="进行中"</x:formula>
    </x:cfRule>
  </x:conditionalFormatting>
  <x:dataValidations count="2">
    <x:dataValidation type="list" sqref="K6:K197">
      <x:formula1>"未开始,进行中,待验收,已验收,暂停"</x:formula1>
    </x:dataValidation>
    <x:dataValidation type="decimal" operator="between" sqref="M6:N197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a37378f8b2f4a5a"/>
  </x:tableParts>
</x:worksheet>
</file>

<file path=xl/worksheets/sheet3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45" hidden="0" customWidth="1"/>
    <x:col min="8" max="8" width="48" hidden="0" customWidth="1"/>
    <x:col min="9" max="9" width="14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武道｜内容规模与计数口径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7" t="str">
        <x:v>数量为规划假设；黄色输入可调、合计自动计算。改动规模后须同步任务描述与内容配置。</x:v>
      </x:c>
      <x:c r="B3" s="3"/>
      <x:c r="C3" s="3"/>
      <x:c r="D3" s="3"/>
      <x:c r="E3" s="3"/>
      <x:c r="F3" s="3"/>
      <x:c r="G3" s="3"/>
      <x:c r="H3" s="3"/>
      <x:c r="I3" s="3"/>
    </x:row>
    <x:row r="4" ht="1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2" customHeight="1">
      <x:c r="A5" s="10" t="str">
        <x:v>类别</x:v>
      </x:c>
      <x:c r="B5" s="10" t="str">
        <x:v>内容项</x:v>
      </x:c>
      <x:c r="C5" s="10" t="str">
        <x:v>单位</x:v>
      </x:c>
      <x:c r="D5" s="10" t="str">
        <x:v>单镇切片</x:v>
      </x:c>
      <x:c r="E5" s="10" t="str">
        <x:v>区域验证</x:v>
      </x:c>
      <x:c r="F5" s="10" t="str">
        <x:v>首发基线</x:v>
      </x:c>
      <x:c r="G5" s="10" t="str">
        <x:v>计数口径</x:v>
      </x:c>
      <x:c r="H5" s="10" t="str">
        <x:v>预算注意点</x:v>
      </x:c>
      <x:c r="I5" s="10" t="str">
        <x:v>工作包</x:v>
      </x:c>
    </x:row>
    <x:row r="6" ht="66" customHeight="1">
      <x:c r="A6" s="12" t="str">
        <x:v>区域</x:v>
      </x:c>
      <x:c r="B6" s="11" t="str">
        <x:v>开放区域</x:v>
      </x:c>
      <x:c r="C6" s="11" t="str">
        <x:v>个</x:v>
      </x:c>
      <x:c r="D6" s="20" t="n">
        <x:v>1</x:v>
      </x:c>
      <x:c r="E6" s="20" t="n">
        <x:v>2</x:v>
      </x:c>
      <x:c r="F6" s="20" t="n">
        <x:v>5</x:v>
      </x:c>
      <x:c r="G6" s="11" t="str">
        <x:v>独立地理与势力主题；不等于加载地图</x:v>
      </x:c>
      <x:c r="H6" s="11" t="str">
        <x:v>基线假设，量产前按切片成本调整</x:v>
      </x:c>
      <x:c r="I6" s="11" t="str">
        <x:v>B01</x:v>
      </x:c>
    </x:row>
    <x:row r="7" ht="66" customHeight="1">
      <x:c r="A7" s="22" t="str">
        <x:v>地图</x:v>
      </x:c>
      <x:c r="B7" s="22" t="str">
        <x:v>可游玩地图合计</x:v>
      </x:c>
      <x:c r="C7" s="22" t="str">
        <x:v>张</x:v>
      </x:c>
      <x:c r="D7" s="25" t="n">
        <x:f>SUM(D8,D9,D10,D11,D12)</x:f>
        <x:v>6</x:v>
      </x:c>
      <x:c r="E7" s="25" t="n">
        <x:f>SUM(E8,E9,E10,E11,E12)</x:f>
        <x:v>12</x:v>
      </x:c>
      <x:c r="F7" s="25" t="n">
        <x:f>SUM(F8,F9,F10,F11,F12)</x:f>
        <x:v>36</x:v>
      </x:c>
      <x:c r="G7" s="22" t="str">
        <x:v>下列五类互斥地图之和；不把兴趣点重复计数</x:v>
      </x:c>
      <x:c r="H7" s="22" t="str">
        <x:v>各地图同时包含碰撞、互动、事件和资源预算</x:v>
      </x:c>
      <x:c r="I7" s="22" t="str">
        <x:v>B09</x:v>
      </x:c>
    </x:row>
    <x:row r="8" ht="66" customHeight="1">
      <x:c r="A8" s="12" t="str">
        <x:v>地图</x:v>
      </x:c>
      <x:c r="B8" s="11" t="str">
        <x:v>城镇街区</x:v>
      </x:c>
      <x:c r="C8" s="11" t="str">
        <x:v>张</x:v>
      </x:c>
      <x:c r="D8" s="20" t="n">
        <x:v>1</x:v>
      </x:c>
      <x:c r="E8" s="20" t="n">
        <x:v>2</x:v>
      </x:c>
      <x:c r="F8" s="20" t="n">
        <x:v>6</x:v>
      </x:c>
      <x:c r="G8" s="11" t="str">
        <x:v>室外城镇街区；单独可加载空间</x:v>
      </x:c>
      <x:c r="H8" s="11" t="str">
        <x:v>地图面积由移动速度和互动密度验证</x:v>
      </x:c>
      <x:c r="I8" s="11" t="str">
        <x:v>B06</x:v>
      </x:c>
    </x:row>
    <x:row r="9" ht="66" customHeight="1">
      <x:c r="A9" s="13" t="str">
        <x:v>地图</x:v>
      </x:c>
      <x:c r="B9" s="3" t="str">
        <x:v>服务室内</x:v>
      </x:c>
      <x:c r="C9" s="3" t="str">
        <x:v>张</x:v>
      </x:c>
      <x:c r="D9" s="20" t="n">
        <x:v>2</x:v>
      </x:c>
      <x:c r="E9" s="20" t="n">
        <x:v>3</x:v>
      </x:c>
      <x:c r="F9" s="20" t="n">
        <x:v>8</x:v>
      </x:c>
      <x:c r="G9" s="3" t="str">
        <x:v>独立客栈、医馆、商铺等；无缝小房间不重复计张</x:v>
      </x:c>
      <x:c r="H9" s="3" t="str">
        <x:v>切片医馆与客栈各一张</x:v>
      </x:c>
      <x:c r="I9" s="3" t="str">
        <x:v>B05</x:v>
      </x:c>
    </x:row>
    <x:row r="10" ht="66" customHeight="1">
      <x:c r="A10" s="12" t="str">
        <x:v>地图</x:v>
      </x:c>
      <x:c r="B10" s="11" t="str">
        <x:v>野外道路</x:v>
      </x:c>
      <x:c r="C10" s="11" t="str">
        <x:v>张</x:v>
      </x:c>
      <x:c r="D10" s="20" t="n">
        <x:v>1</x:v>
      </x:c>
      <x:c r="E10" s="20" t="n">
        <x:v>3</x:v>
      </x:c>
      <x:c r="F10" s="20" t="n">
        <x:v>8</x:v>
      </x:c>
      <x:c r="G10" s="11" t="str">
        <x:v>可游玩林地、山路、渡口等</x:v>
      </x:c>
      <x:c r="H10" s="11" t="str">
        <x:v>避免只有跑路没有选择</x:v>
      </x:c>
      <x:c r="I10" s="11" t="str">
        <x:v>B07</x:v>
      </x:c>
    </x:row>
    <x:row r="11" ht="66" customHeight="1">
      <x:c r="A11" s="13" t="str">
        <x:v>地图</x:v>
      </x:c>
      <x:c r="B11" s="3" t="str">
        <x:v>势力驻地</x:v>
      </x:c>
      <x:c r="C11" s="3" t="str">
        <x:v>张</x:v>
      </x:c>
      <x:c r="D11" s="20" t="n">
        <x:v>1</x:v>
      </x:c>
      <x:c r="E11" s="20" t="n">
        <x:v>2</x:v>
      </x:c>
      <x:c r="F11" s="20" t="n">
        <x:v>6</x:v>
      </x:c>
      <x:c r="G11" s="3" t="str">
        <x:v>门派、官府或商会驻地</x:v>
      </x:c>
      <x:c r="H11" s="3" t="str">
        <x:v>含驻地室内则不另计服务室内</x:v>
      </x:c>
      <x:c r="I11" s="3" t="str">
        <x:v>F09</x:v>
      </x:c>
    </x:row>
    <x:row r="12" ht="66" customHeight="1">
      <x:c r="A12" s="12" t="str">
        <x:v>地图</x:v>
      </x:c>
      <x:c r="B12" s="11" t="str">
        <x:v>探索据点</x:v>
      </x:c>
      <x:c r="C12" s="11" t="str">
        <x:v>张</x:v>
      </x:c>
      <x:c r="D12" s="20" t="n">
        <x:v>1</x:v>
      </x:c>
      <x:c r="E12" s="20" t="n">
        <x:v>2</x:v>
      </x:c>
      <x:c r="F12" s="20" t="n">
        <x:v>8</x:v>
      </x:c>
      <x:c r="G12" s="11" t="str">
        <x:v>洞窟、山寨、遗迹等独立探索空间</x:v>
      </x:c>
      <x:c r="H12" s="11" t="str">
        <x:v>同一地图的事件变体不重复计数</x:v>
      </x:c>
      <x:c r="I12" s="11" t="str">
        <x:v>K07</x:v>
      </x:c>
    </x:row>
    <x:row r="13" ht="66" customHeight="1">
      <x:c r="A13" s="13" t="str">
        <x:v>势力</x:v>
      </x:c>
      <x:c r="B13" s="3" t="str">
        <x:v>可加入门派</x:v>
      </x:c>
      <x:c r="C13" s="3" t="str">
        <x:v>个</x:v>
      </x:c>
      <x:c r="D13" s="20" t="n">
        <x:v>1</x:v>
      </x:c>
      <x:c r="E13" s="20" t="n">
        <x:v>2</x:v>
      </x:c>
      <x:c r="F13" s="20" t="n">
        <x:v>4</x:v>
      </x:c>
      <x:c r="G13" s="3" t="str">
        <x:v>具入门、晋升、授艺、退出和门派任务完整流程</x:v>
      </x:c>
      <x:c r="H13" s="3" t="str">
        <x:v>第二门派用于检验系统可复用</x:v>
      </x:c>
      <x:c r="I13" s="3" t="str">
        <x:v>F09</x:v>
      </x:c>
    </x:row>
    <x:row r="14" ht="66" customHeight="1">
      <x:c r="A14" s="12" t="str">
        <x:v>势力</x:v>
      </x:c>
      <x:c r="B14" s="11" t="str">
        <x:v>其他主要势力</x:v>
      </x:c>
      <x:c r="C14" s="11" t="str">
        <x:v>个</x:v>
      </x:c>
      <x:c r="D14" s="20" t="n">
        <x:v>1</x:v>
      </x:c>
      <x:c r="E14" s="20" t="n">
        <x:v>1</x:v>
      </x:c>
      <x:c r="F14" s="20" t="n">
        <x:v>2</x:v>
      </x:c>
      <x:c r="G14" s="11" t="str">
        <x:v>不可拜师但有立场、服务和事件的官府／商会等</x:v>
      </x:c>
      <x:c r="H14" s="11" t="str">
        <x:v>不计仅出现在对白中的组织</x:v>
      </x:c>
      <x:c r="I14" s="11" t="str">
        <x:v>F01</x:v>
      </x:c>
    </x:row>
    <x:row r="15" ht="66" customHeight="1">
      <x:c r="A15" s="13" t="str">
        <x:v>人物</x:v>
      </x:c>
      <x:c r="B15" s="3" t="str">
        <x:v>命名NPC（含伙伴）</x:v>
      </x:c>
      <x:c r="C15" s="3" t="str">
        <x:v>人</x:v>
      </x:c>
      <x:c r="D15" s="20" t="n">
        <x:v>10</x:v>
      </x:c>
      <x:c r="E15" s="20" t="n">
        <x:v>20</x:v>
      </x:c>
      <x:c r="F15" s="20" t="n">
        <x:v>40</x:v>
      </x:c>
      <x:c r="G15" s="3" t="str">
        <x:v>具有持续状态、人物用途及关系或任务内容</x:v>
      </x:c>
      <x:c r="H15" s="3" t="str">
        <x:v>伙伴是此项子集，不能相加当总人数</x:v>
      </x:c>
      <x:c r="I15" s="3" t="str">
        <x:v>E09</x:v>
      </x:c>
    </x:row>
    <x:row r="16" ht="66" customHeight="1">
      <x:c r="A16" s="12" t="str">
        <x:v>人物</x:v>
      </x:c>
      <x:c r="B16" s="11" t="str">
        <x:v>背景NPC</x:v>
      </x:c>
      <x:c r="C16" s="11" t="str">
        <x:v>人</x:v>
      </x:c>
      <x:c r="D16" s="20" t="n">
        <x:v>12</x:v>
      </x:c>
      <x:c r="E16" s="20" t="n">
        <x:v>24</x:v>
      </x:c>
      <x:c r="F16" s="20" t="n">
        <x:v>60</x:v>
      </x:c>
      <x:c r="G16" s="11" t="str">
        <x:v>采用模板和简化日程的人群角色</x:v>
      </x:c>
      <x:c r="H16" s="11" t="str">
        <x:v>不是六十套独有模型与完整任务线</x:v>
      </x:c>
      <x:c r="I16" s="11" t="str">
        <x:v>E08</x:v>
      </x:c>
    </x:row>
    <x:row r="17" ht="66" customHeight="1">
      <x:c r="A17" s="13" t="str">
        <x:v>人物</x:v>
      </x:c>
      <x:c r="B17" s="3" t="str">
        <x:v>可招募伙伴</x:v>
      </x:c>
      <x:c r="C17" s="3" t="str">
        <x:v>人</x:v>
      </x:c>
      <x:c r="D17" s="20" t="n">
        <x:v>2</x:v>
      </x:c>
      <x:c r="E17" s="20" t="n">
        <x:v>4</x:v>
      </x:c>
      <x:c r="F17" s="20" t="n">
        <x:v>8</x:v>
      </x:c>
      <x:c r="G17" s="3" t="str">
        <x:v>独立战斗角色、招募离队和个人内容</x:v>
      </x:c>
      <x:c r="H17" s="3" t="str">
        <x:v>计入命名NPC；首发八人不要求同一周目全招募</x:v>
      </x:c>
      <x:c r="I17" s="3" t="str">
        <x:v>G06</x:v>
      </x:c>
    </x:row>
    <x:row r="18" ht="66" customHeight="1">
      <x:c r="A18" s="12" t="str">
        <x:v>队伍</x:v>
      </x:c>
      <x:c r="B18" s="11" t="str">
        <x:v>同时出战上限（含主角）</x:v>
      </x:c>
      <x:c r="C18" s="11" t="str">
        <x:v>人</x:v>
      </x:c>
      <x:c r="D18" s="20" t="n">
        <x:v>4</x:v>
      </x:c>
      <x:c r="E18" s="20" t="n">
        <x:v>4</x:v>
      </x:c>
      <x:c r="F18" s="20" t="n">
        <x:v>4</x:v>
      </x:c>
      <x:c r="G18" s="11" t="str">
        <x:v>主角加最多三位队友</x:v>
      </x:c>
      <x:c r="H18" s="11" t="str">
        <x:v>切片有两位正式伙伴；另用测试角色验满编性能</x:v>
      </x:c>
      <x:c r="I18" s="11" t="str">
        <x:v>G03</x:v>
      </x:c>
    </x:row>
    <x:row r="19" ht="66" customHeight="1">
      <x:c r="A19" s="13" t="str">
        <x:v>战斗</x:v>
      </x:c>
      <x:c r="B19" s="3" t="str">
        <x:v>常规敌人原型</x:v>
      </x:c>
      <x:c r="C19" s="3" t="str">
        <x:v>类</x:v>
      </x:c>
      <x:c r="D19" s="20" t="n">
        <x:v>4</x:v>
      </x:c>
      <x:c r="E19" s="20" t="n">
        <x:v>6</x:v>
      </x:c>
      <x:c r="F19" s="20" t="n">
        <x:v>12</x:v>
      </x:c>
      <x:c r="G19" s="3" t="str">
        <x:v>行为与战术定位不同的原型</x:v>
      </x:c>
      <x:c r="H19" s="3" t="str">
        <x:v>换色和等级变体不算新原型</x:v>
      </x:c>
      <x:c r="I19" s="3" t="str">
        <x:v>I05</x:v>
      </x:c>
    </x:row>
    <x:row r="20" ht="66" customHeight="1">
      <x:c r="A20" s="12" t="str">
        <x:v>战斗</x:v>
      </x:c>
      <x:c r="B20" s="11" t="str">
        <x:v>首领</x:v>
      </x:c>
      <x:c r="C20" s="11" t="str">
        <x:v>个</x:v>
      </x:c>
      <x:c r="D20" s="20" t="n">
        <x:v>1</x:v>
      </x:c>
      <x:c r="E20" s="20" t="n">
        <x:v>2</x:v>
      </x:c>
      <x:c r="F20" s="20" t="n">
        <x:v>6</x:v>
      </x:c>
      <x:c r="G20" s="11" t="str">
        <x:v>有独立机制、动作与场景配置的首领</x:v>
      </x:c>
      <x:c r="H20" s="11" t="str">
        <x:v>精英数值变体不计入首领</x:v>
      </x:c>
      <x:c r="I20" s="11" t="str">
        <x:v>I10</x:v>
      </x:c>
    </x:row>
    <x:row r="21" ht="66" customHeight="1">
      <x:c r="A21" s="22" t="str">
        <x:v>武学</x:v>
      </x:c>
      <x:c r="B21" s="22" t="str">
        <x:v>武学条目合计</x:v>
      </x:c>
      <x:c r="C21" s="22" t="str">
        <x:v>条</x:v>
      </x:c>
      <x:c r="D21" s="25" t="n">
        <x:f>SUM(D22,D23,D24,D25)</x:f>
        <x:v>12</x:v>
      </x:c>
      <x:c r="E21" s="25" t="n">
        <x:f>SUM(E22,E23,E24,E25)</x:f>
        <x:v>30</x:v>
      </x:c>
      <x:c r="F21" s="25" t="n">
        <x:f>SUM(F22,F23,F24,F25)</x:f>
        <x:v>60</x:v>
      </x:c>
      <x:c r="G21" s="22" t="str">
        <x:v>招式、心法、轻功、锻体之和</x:v>
      </x:c>
      <x:c r="H21" s="22" t="str">
        <x:v>武学数不等于独立动画数</x:v>
      </x:c>
      <x:c r="I21" s="22" t="str">
        <x:v>H09</x:v>
      </x:c>
    </x:row>
    <x:row r="22" ht="66" customHeight="1">
      <x:c r="A22" s="12" t="str">
        <x:v>武学</x:v>
      </x:c>
      <x:c r="B22" s="11" t="str">
        <x:v>招式</x:v>
      </x:c>
      <x:c r="C22" s="11" t="str">
        <x:v>条</x:v>
      </x:c>
      <x:c r="D22" s="20" t="n">
        <x:v>6</x:v>
      </x:c>
      <x:c r="E22" s="20" t="n">
        <x:v>15</x:v>
      </x:c>
      <x:c r="F22" s="20" t="n">
        <x:v>30</x:v>
      </x:c>
      <x:c r="G22" s="11" t="str">
        <x:v>可执行的战斗动作配置</x:v>
      </x:c>
      <x:c r="H22" s="11" t="str">
        <x:v>优先复用兵器动作族，保留节奏与用途差异</x:v>
      </x:c>
      <x:c r="I22" s="11" t="str">
        <x:v>H05</x:v>
      </x:c>
    </x:row>
    <x:row r="23" ht="66" customHeight="1">
      <x:c r="A23" s="13" t="str">
        <x:v>武学</x:v>
      </x:c>
      <x:c r="B23" s="3" t="str">
        <x:v>心法</x:v>
      </x:c>
      <x:c r="C23" s="3" t="str">
        <x:v>条</x:v>
      </x:c>
      <x:c r="D23" s="20" t="n">
        <x:v>2</x:v>
      </x:c>
      <x:c r="E23" s="20" t="n">
        <x:v>6</x:v>
      </x:c>
      <x:c r="F23" s="20" t="n">
        <x:v>12</x:v>
      </x:c>
      <x:c r="G23" s="3" t="str">
        <x:v>内力与构筑规则条目</x:v>
      </x:c>
      <x:c r="H23" s="3" t="str">
        <x:v>被动心法不强制独立攻击动画</x:v>
      </x:c>
      <x:c r="I23" s="3" t="str">
        <x:v>H04</x:v>
      </x:c>
    </x:row>
    <x:row r="24" ht="66" customHeight="1">
      <x:c r="A24" s="12" t="str">
        <x:v>武学</x:v>
      </x:c>
      <x:c r="B24" s="11" t="str">
        <x:v>轻功</x:v>
      </x:c>
      <x:c r="C24" s="11" t="str">
        <x:v>条</x:v>
      </x:c>
      <x:c r="D24" s="20" t="n">
        <x:v>2</x:v>
      </x:c>
      <x:c r="E24" s="20" t="n">
        <x:v>4</x:v>
      </x:c>
      <x:c r="F24" s="20" t="n">
        <x:v>8</x:v>
      </x:c>
      <x:c r="G24" s="11" t="str">
        <x:v>移动、闪避与探索能力条目</x:v>
      </x:c>
      <x:c r="H24" s="11" t="str">
        <x:v>说明战斗与探索的差异</x:v>
      </x:c>
      <x:c r="I24" s="11" t="str">
        <x:v>H06</x:v>
      </x:c>
    </x:row>
    <x:row r="25" ht="66" customHeight="1">
      <x:c r="A25" s="13" t="str">
        <x:v>武学</x:v>
      </x:c>
      <x:c r="B25" s="3" t="str">
        <x:v>锻体</x:v>
      </x:c>
      <x:c r="C25" s="3" t="str">
        <x:v>条</x:v>
      </x:c>
      <x:c r="D25" s="20" t="n">
        <x:v>2</x:v>
      </x:c>
      <x:c r="E25" s="20" t="n">
        <x:v>5</x:v>
      </x:c>
      <x:c r="F25" s="20" t="n">
        <x:v>10</x:v>
      </x:c>
      <x:c r="G25" s="3" t="str">
        <x:v>体质、防御和承伤规则条目</x:v>
      </x:c>
      <x:c r="H25" s="3" t="str">
        <x:v>避免只有百分比递增的同质化成长</x:v>
      </x:c>
      <x:c r="I25" s="3" t="str">
        <x:v>H09</x:v>
      </x:c>
    </x:row>
    <x:row r="26" ht="66" customHeight="1">
      <x:c r="A26" s="22" t="str">
        <x:v>任务</x:v>
      </x:c>
      <x:c r="B26" s="22" t="str">
        <x:v>作者制作的任务包合计</x:v>
      </x:c>
      <x:c r="C26" s="22" t="str">
        <x:v>包</x:v>
      </x:c>
      <x:c r="D26" s="25" t="n">
        <x:f>SUM(D27,D28,D29,D30)</x:f>
        <x:v>8</x:v>
      </x:c>
      <x:c r="E26" s="25" t="n">
        <x:f>SUM(E27,E28,E29,E30)</x:f>
        <x:v>28</x:v>
      </x:c>
      <x:c r="F26" s="25" t="n">
        <x:f>SUM(F27,F28,F29,F30)</x:f>
        <x:v>88</x:v>
      </x:c>
      <x:c r="G26" s="22" t="str">
        <x:v>下列四类任务包之和；每包包含起止与分支</x:v>
      </x:c>
      <x:c r="H26" s="22" t="str">
        <x:v>对白节点、步骤和重复委托不另算任务包</x:v>
      </x:c>
      <x:c r="I26" s="22" t="str">
        <x:v>J09</x:v>
      </x:c>
    </x:row>
    <x:row r="27" ht="66" customHeight="1">
      <x:c r="A27" s="13" t="str">
        <x:v>任务</x:v>
      </x:c>
      <x:c r="B27" s="3" t="str">
        <x:v>世界主线任务包</x:v>
      </x:c>
      <x:c r="C27" s="3" t="str">
        <x:v>包</x:v>
      </x:c>
      <x:c r="D27" s="20" t="n">
        <x:v>2</x:v>
      </x:c>
      <x:c r="E27" s="20" t="n">
        <x:v>6</x:v>
      </x:c>
      <x:c r="F27" s="20" t="n">
        <x:v>16</x:v>
      </x:c>
      <x:c r="G27" s="3" t="str">
        <x:v>世界矛盾、地区引导与重要分歧</x:v>
      </x:c>
      <x:c r="H27" s="3" t="str">
        <x:v>不要求每次游玩经历所有支路</x:v>
      </x:c>
      <x:c r="I27" s="3" t="str">
        <x:v>J02</x:v>
      </x:c>
    </x:row>
    <x:row r="28" ht="66" customHeight="1">
      <x:c r="A28" s="12" t="str">
        <x:v>任务</x:v>
      </x:c>
      <x:c r="B28" s="11" t="str">
        <x:v>门派任务包</x:v>
      </x:c>
      <x:c r="C28" s="11" t="str">
        <x:v>包</x:v>
      </x:c>
      <x:c r="D28" s="20" t="n">
        <x:v>2</x:v>
      </x:c>
      <x:c r="E28" s="20" t="n">
        <x:v>6</x:v>
      </x:c>
      <x:c r="F28" s="20" t="n">
        <x:v>24</x:v>
      </x:c>
      <x:c r="G28" s="11" t="str">
        <x:v>入门后职责、授艺、冲突与门派结局</x:v>
      </x:c>
      <x:c r="H28" s="11" t="str">
        <x:v>首发四门派平均六包，分布可调整</x:v>
      </x:c>
      <x:c r="I28" s="11" t="str">
        <x:v>F06</x:v>
      </x:c>
    </x:row>
    <x:row r="29" ht="66" customHeight="1">
      <x:c r="A29" s="13" t="str">
        <x:v>任务</x:v>
      </x:c>
      <x:c r="B29" s="3" t="str">
        <x:v>地方支线任务包</x:v>
      </x:c>
      <x:c r="C29" s="3" t="str">
        <x:v>包</x:v>
      </x:c>
      <x:c r="D29" s="20" t="n">
        <x:v>2</x:v>
      </x:c>
      <x:c r="E29" s="20" t="n">
        <x:v>10</x:v>
      </x:c>
      <x:c r="F29" s="20" t="n">
        <x:v>24</x:v>
      </x:c>
      <x:c r="G29" s="3" t="str">
        <x:v>人物、地点和事件的地方故事</x:v>
      </x:c>
      <x:c r="H29" s="3" t="str">
        <x:v>至少部分支持跨系统替代解法</x:v>
      </x:c>
      <x:c r="I29" s="3" t="str">
        <x:v>J03</x:v>
      </x:c>
    </x:row>
    <x:row r="30" ht="66" customHeight="1">
      <x:c r="A30" s="12" t="str">
        <x:v>任务</x:v>
      </x:c>
      <x:c r="B30" s="11" t="str">
        <x:v>伙伴任务包</x:v>
      </x:c>
      <x:c r="C30" s="11" t="str">
        <x:v>包</x:v>
      </x:c>
      <x:c r="D30" s="20" t="n">
        <x:v>2</x:v>
      </x:c>
      <x:c r="E30" s="20" t="n">
        <x:v>6</x:v>
      </x:c>
      <x:c r="F30" s="20" t="n">
        <x:v>24</x:v>
      </x:c>
      <x:c r="G30" s="11" t="str">
        <x:v>同伴招募、矛盾与个人结局</x:v>
      </x:c>
      <x:c r="H30" s="11" t="str">
        <x:v>首发八伙伴平均三包；计包避免一条线算一条任务</x:v>
      </x:c>
      <x:c r="I30" s="11" t="str">
        <x:v>G06</x:v>
      </x:c>
    </x:row>
    <x:row r="31" ht="66" customHeight="1">
      <x:c r="A31" s="13" t="str">
        <x:v>探索</x:v>
      </x:c>
      <x:c r="B31" s="3" t="str">
        <x:v>奇遇模板</x:v>
      </x:c>
      <x:c r="C31" s="3" t="str">
        <x:v>类</x:v>
      </x:c>
      <x:c r="D31" s="20" t="n">
        <x:v>2</x:v>
      </x:c>
      <x:c r="E31" s="20" t="n">
        <x:v>6</x:v>
      </x:c>
      <x:c r="F31" s="20" t="n">
        <x:v>12</x:v>
      </x:c>
      <x:c r="G31" s="3" t="str">
        <x:v>手工编写逻辑与变体的触发模板</x:v>
      </x:c>
      <x:c r="H31" s="3" t="str">
        <x:v>实际遭遇次数不算新内容量</x:v>
      </x:c>
      <x:c r="I31" s="3" t="str">
        <x:v>K03</x:v>
      </x:c>
    </x:row>
    <x:row r="32" ht="66" customHeight="1">
      <x:c r="A32" s="12" t="str">
        <x:v>探索</x:v>
      </x:c>
      <x:c r="B32" s="11" t="str">
        <x:v>秘密兴趣点</x:v>
      </x:c>
      <x:c r="C32" s="11" t="str">
        <x:v>处</x:v>
      </x:c>
      <x:c r="D32" s="20" t="n">
        <x:v>3</x:v>
      </x:c>
      <x:c r="E32" s="20" t="n">
        <x:v>10</x:v>
      </x:c>
      <x:c r="F32" s="20" t="n">
        <x:v>30</x:v>
      </x:c>
      <x:c r="G32" s="11" t="str">
        <x:v>隐藏路径、线索、机关或独特奖励点</x:v>
      </x:c>
      <x:c r="H32" s="11" t="str">
        <x:v>属于地图内部布点，不计入地图总数</x:v>
      </x:c>
      <x:c r="I32" s="11" t="str">
        <x:v>K04</x:v>
      </x:c>
    </x:row>
    <x:row r="33" ht="66" customHeight="1">
      <x:c r="A33" s="13" t="str">
        <x:v>物品</x:v>
      </x:c>
      <x:c r="B33" s="3" t="str">
        <x:v>基础装备条目</x:v>
      </x:c>
      <x:c r="C33" s="3" t="str">
        <x:v>件</x:v>
      </x:c>
      <x:c r="D33" s="20" t="n">
        <x:v>12</x:v>
      </x:c>
      <x:c r="E33" s="20" t="n">
        <x:v>30</x:v>
      </x:c>
      <x:c r="F33" s="20" t="n">
        <x:v>60</x:v>
      </x:c>
      <x:c r="G33" s="3" t="str">
        <x:v>有来源、用途、图标和属性的装备定义</x:v>
      </x:c>
      <x:c r="H33" s="3" t="str">
        <x:v>随机品质及同款实例不计新增条目</x:v>
      </x:c>
      <x:c r="I33" s="3" t="str">
        <x:v>L08</x:v>
      </x:c>
    </x:row>
    <x:row r="34" ht="66" customHeight="1">
      <x:c r="A34" s="12" t="str">
        <x:v>物品</x:v>
      </x:c>
      <x:c r="B34" s="11" t="str">
        <x:v>消耗品条目</x:v>
      </x:c>
      <x:c r="C34" s="11" t="str">
        <x:v>种</x:v>
      </x:c>
      <x:c r="D34" s="20" t="n">
        <x:v>6</x:v>
      </x:c>
      <x:c r="E34" s="20" t="n">
        <x:v>12</x:v>
      </x:c>
      <x:c r="F34" s="20" t="n">
        <x:v>20</x:v>
      </x:c>
      <x:c r="G34" s="11" t="str">
        <x:v>药物、食物和其他可消耗物</x:v>
      </x:c>
      <x:c r="H34" s="11" t="str">
        <x:v>包含制作产物，不与配方数相加</x:v>
      </x:c>
      <x:c r="I34" s="11" t="str">
        <x:v>L08</x:v>
      </x:c>
    </x:row>
    <x:row r="35" ht="66" customHeight="1">
      <x:c r="A35" s="13" t="str">
        <x:v>物品</x:v>
      </x:c>
      <x:c r="B35" s="3" t="str">
        <x:v>材料条目</x:v>
      </x:c>
      <x:c r="C35" s="3" t="str">
        <x:v>种</x:v>
      </x:c>
      <x:c r="D35" s="20" t="n">
        <x:v>6</x:v>
      </x:c>
      <x:c r="E35" s="20" t="n">
        <x:v>12</x:v>
      </x:c>
      <x:c r="F35" s="20" t="n">
        <x:v>24</x:v>
      </x:c>
      <x:c r="G35" s="3" t="str">
        <x:v>可采集、购买或获得的制作材料</x:v>
      </x:c>
      <x:c r="H35" s="3" t="str">
        <x:v>每种必须有实际消耗用途</x:v>
      </x:c>
      <x:c r="I35" s="3" t="str">
        <x:v>M02</x:v>
      </x:c>
    </x:row>
    <x:row r="36" ht="66" customHeight="1">
      <x:c r="A36" s="12" t="str">
        <x:v>物品</x:v>
      </x:c>
      <x:c r="B36" s="11" t="str">
        <x:v>生活配方</x:v>
      </x:c>
      <x:c r="C36" s="11" t="str">
        <x:v>张</x:v>
      </x:c>
      <x:c r="D36" s="20" t="n">
        <x:v>4</x:v>
      </x:c>
      <x:c r="E36" s="20" t="n">
        <x:v>8</x:v>
      </x:c>
      <x:c r="F36" s="20" t="n">
        <x:v>16</x:v>
      </x:c>
      <x:c r="G36" s="11" t="str">
        <x:v>确定原料、产物、时间与解锁方式的配方</x:v>
      </x:c>
      <x:c r="H36" s="11" t="str">
        <x:v>产出物计入物品类型，不重复增加物品预算</x:v>
      </x:c>
      <x:c r="I36" s="11" t="str">
        <x:v>M07</x:v>
      </x:c>
    </x:row>
    <x:row r="37" ht="66" customHeight="1">
      <x:c r="A37" s="13" t="str">
        <x:v>体验</x:v>
      </x:c>
      <x:c r="B37" s="3" t="str">
        <x:v>首通时长规划锚点</x:v>
      </x:c>
      <x:c r="C37" s="3" t="str">
        <x:v>小时</x:v>
      </x:c>
      <x:c r="D37" s="21" t="n">
        <x:v>1.5</x:v>
      </x:c>
      <x:c r="E37" s="21" t="n">
        <x:v>6</x:v>
      </x:c>
      <x:c r="F37" s="21" t="n">
        <x:v>25</x:v>
      </x:c>
      <x:c r="G37" s="3" t="str">
        <x:v>切片主路径60—90分钟；首发期望20—30小时</x:v>
      </x:c>
      <x:c r="H37" s="3" t="str">
        <x:v>只是节奏目标，需以真实玩家测试重新估算</x:v>
      </x:c>
      <x:c r="I37" s="3" t="str">
        <x:v>V05</x:v>
      </x:c>
    </x:row>
  </x:sheetData>
  <x:pageMargins left="0.7" right="0.7" top="0.75" bottom="0.75" header="0.3" footer="0.3"/>
  <x:tableParts count="1">
    <x:tablePart xmlns:r="http://schemas.openxmlformats.org/officeDocument/2006/relationships" r:id="Rfa0fc85c797a431e"/>
  </x:tableParts>
</x:worksheet>
</file>

<file path=xl/worksheets/sheet4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31" hidden="0" customWidth="1"/>
    <x:col min="4" max="4" width="35" hidden="0" customWidth="1"/>
    <x:col min="5" max="5" width="35" hidden="0" customWidth="1"/>
    <x:col min="6" max="6" width="35" hidden="0" customWidth="1"/>
    <x:col min="7" max="7" width="28" hidden="0" customWidth="1"/>
    <x:col min="8" max="8" width="39" hidden="0" customWidth="1"/>
    <x:col min="9" max="9" width="19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武道｜玩家行动与系统后果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7" t="str">
        <x:v>每个动作必须连接成本、目标状态、知情范围与后续事件；不是一张独立按钮清单。</x:v>
      </x:c>
      <x:c r="B3" s="3"/>
      <x:c r="C3" s="3"/>
      <x:c r="D3" s="3"/>
      <x:c r="E3" s="3"/>
      <x:c r="F3" s="3"/>
      <x:c r="G3" s="3"/>
      <x:c r="H3" s="3"/>
      <x:c r="I3" s="3"/>
    </x:row>
    <x:row r="4" ht="1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2" customHeight="1">
      <x:c r="A5" s="10" t="str">
        <x:v>行动</x:v>
      </x:c>
      <x:c r="B5" s="10" t="str">
        <x:v>前置条件</x:v>
      </x:c>
      <x:c r="C5" s="10" t="str">
        <x:v>成本／风险</x:v>
      </x:c>
      <x:c r="D5" s="10" t="str">
        <x:v>成功结果</x:v>
      </x:c>
      <x:c r="E5" s="10" t="str">
        <x:v>失败／替代</x:v>
      </x:c>
      <x:c r="F5" s="10" t="str">
        <x:v>目击与知情</x:v>
      </x:c>
      <x:c r="G5" s="10" t="str">
        <x:v>影响系统</x:v>
      </x:c>
      <x:c r="H5" s="10" t="str">
        <x:v>关键验收</x:v>
      </x:c>
      <x:c r="I5" s="10" t="str">
        <x:v>工作包</x:v>
      </x:c>
    </x:row>
    <x:row r="6" ht="78" customHeight="1">
      <x:c r="A6" s="12" t="str">
        <x:v>交谈／观察</x:v>
      </x:c>
      <x:c r="B6" s="11" t="str">
        <x:v>位置、语言、身份、玩家已有信息</x:v>
      </x:c>
      <x:c r="C6" s="11" t="str">
        <x:v>一般暂停；特殊检定可耗时</x:v>
      </x:c>
      <x:c r="D6" s="11" t="str">
        <x:v>新增线索、对话或任务入口</x:v>
      </x:c>
      <x:c r="E6" s="11" t="str">
        <x:v>说明拒绝原因／提供其他联络线索</x:v>
      </x:c>
      <x:c r="F6" s="11" t="str">
        <x:v>观察本身不触发全局敌意</x:v>
      </x:c>
      <x:c r="G6" s="11" t="str">
        <x:v>NPC记忆、知识、日志</x:v>
      </x:c>
      <x:c r="H6" s="11" t="str">
        <x:v>未知证据不得提前解锁对白</x:v>
      </x:c>
      <x:c r="I6" s="11" t="str">
        <x:v>C04 / J07</x:v>
      </x:c>
    </x:row>
    <x:row r="7" ht="78" customHeight="1">
      <x:c r="A7" s="13" t="str">
        <x:v>赠礼／结交</x:v>
      </x:c>
      <x:c r="B7" s="3" t="str">
        <x:v>目标在场、礼物可赠、关系未锁死</x:v>
      </x:c>
      <x:c r="C7" s="3" t="str">
        <x:v>物品、人情或耗时</x:v>
      </x:c>
      <x:c r="D7" s="3" t="str">
        <x:v>关系变化、引荐或服务开放</x:v>
      </x:c>
      <x:c r="E7" s="3" t="str">
        <x:v>拒收则不扣物；重复收益衰减</x:v>
      </x:c>
      <x:c r="F7" s="3" t="str">
        <x:v>目标记忆来源和赠礼次数</x:v>
      </x:c>
      <x:c r="G7" s="3" t="str">
        <x:v>关系、物品、服务</x:v>
      </x:c>
      <x:c r="H7" s="3" t="str">
        <x:v>满背包、唯一物品与任务物保护</x:v>
      </x:c>
      <x:c r="I7" s="3" t="str">
        <x:v>E04 / C03</x:v>
      </x:c>
    </x:row>
    <x:row r="8" ht="78" customHeight="1">
      <x:c r="A8" s="12" t="str">
        <x:v>请教／拜师</x:v>
      </x:c>
      <x:c r="B8" s="11" t="str">
        <x:v>关系、师承、境界、贡献或考核</x:v>
      </x:c>
      <x:c r="C8" s="11" t="str">
        <x:v>时间、钱、贡献或承诺</x:v>
      </x:c>
      <x:c r="D8" s="11" t="str">
        <x:v>习得武学、获得身份与禁忌</x:v>
      </x:c>
      <x:c r="E8" s="11" t="str">
        <x:v>列出缺少条件并保留已完成考核</x:v>
      </x:c>
      <x:c r="F8" s="11" t="str">
        <x:v>导师与门派记录身份</x:v>
      </x:c>
      <x:c r="G8" s="11" t="str">
        <x:v>武学、门派、任务</x:v>
      </x:c>
      <x:c r="H8" s="11" t="str">
        <x:v>导师暂离或入队后仍有正确入口</x:v>
      </x:c>
      <x:c r="I8" s="11" t="str">
        <x:v>F03 / F05</x:v>
      </x:c>
    </x:row>
    <x:row r="9" ht="78" customHeight="1">
      <x:c r="A9" s="13" t="str">
        <x:v>交易／购回</x:v>
      </x:c>
      <x:c r="B9" s="3" t="str">
        <x:v>库存、货币、声望与物品许可</x:v>
      </x:c>
      <x:c r="C9" s="3" t="str">
        <x:v>货币、物品；通常不耗世界时</x:v>
      </x:c>
      <x:c r="D9" s="3" t="str">
        <x:v>买卖和物品来源同时提交</x:v>
      </x:c>
      <x:c r="E9" s="3" t="str">
        <x:v>余额不足不发生部分交易</x:v>
      </x:c>
      <x:c r="F9" s="3" t="str">
        <x:v>赃物另走识别规则</x:v>
      </x:c>
      <x:c r="G9" s="3" t="str">
        <x:v>库存、货币、所有权</x:v>
      </x:c>
      <x:c r="H9" s="3" t="str">
        <x:v>连续点击、补货时交易与读档不复制</x:v>
      </x:c>
      <x:c r="I9" s="3" t="str">
        <x:v>L03 / L06</x:v>
      </x:c>
    </x:row>
    <x:row r="10" ht="78" customHeight="1">
      <x:c r="A10" s="12" t="str">
        <x:v>拾取／开箱</x:v>
      </x:c>
      <x:c r="B10" s="11" t="str">
        <x:v>接近、容器状态、钥匙或能力</x:v>
      </x:c>
      <x:c r="C10" s="11" t="str">
        <x:v>必要时耗时／钥匙／工具</x:v>
      </x:c>
      <x:c r="D10" s="11" t="str">
        <x:v>移交物品、记录打开与来源</x:v>
      </x:c>
      <x:c r="E10" s="11" t="str">
        <x:v>无钥匙可显示其他路径</x:v>
      </x:c>
      <x:c r="F10" s="11" t="str">
        <x:v>私人所有物触发治安判断</x:v>
      </x:c>
      <x:c r="G10" s="11" t="str">
        <x:v>物品、容器、事件</x:v>
      </x:c>
      <x:c r="H10" s="11" t="str">
        <x:v>开箱奖励不能因重进或读档再次领取</x:v>
      </x:c>
      <x:c r="I10" s="11" t="str">
        <x:v>C05 / N01</x:v>
      </x:c>
    </x:row>
    <x:row r="11" ht="78" customHeight="1">
      <x:c r="A11" s="13" t="str">
        <x:v>偷取</x:v>
      </x:c>
      <x:c r="B11" s="3" t="str">
        <x:v>距离、能力、警戒、所有权与可偷规则</x:v>
      </x:c>
      <x:c r="C11" s="3" t="str">
        <x:v>行动时间、被发现风险</x:v>
      </x:c>
      <x:c r="D11" s="3" t="str">
        <x:v>物品转移并标记赃物</x:v>
      </x:c>
      <x:c r="E11" s="3" t="str">
        <x:v>逃离、冲突、赔偿或被捕</x:v>
      </x:c>
      <x:c r="F11" s="3" t="str">
        <x:v>目击者与举报范围；不全图瞬时知晓</x:v>
      </x:c>
      <x:c r="G11" s="3" t="str">
        <x:v>所有权、治安、关系、任务</x:v>
      </x:c>
      <x:c r="H11" s="3" t="str">
        <x:v>失败不重复扣费；NPC死亡处理案件来源</x:v>
      </x:c>
      <x:c r="I11" s="3" t="str">
        <x:v>C06 / N02</x:v>
      </x:c>
    </x:row>
    <x:row r="12" ht="78" customHeight="1">
      <x:c r="A12" s="12" t="str">
        <x:v>切磋</x:v>
      </x:c>
      <x:c r="B12" s="11" t="str">
        <x:v>双方同意、健康、冷却及场地许可</x:v>
      </x:c>
      <x:c r="C12" s="11" t="str">
        <x:v>体力／耗时／约定赌注</x:v>
      </x:c>
      <x:c r="D12" s="11" t="str">
        <x:v>战斗经验、关系或指点</x:v>
      </x:c>
      <x:c r="E12" s="11" t="str">
        <x:v>受伤或认输，按约定结算</x:v>
      </x:c>
      <x:c r="F12" s="11" t="str">
        <x:v>公开切磋通常不触发犯罪</x:v>
      </x:c>
      <x:c r="G12" s="11" t="str">
        <x:v>战斗、关系、武学</x:v>
      </x:c>
      <x:c r="H12" s="11" t="str">
        <x:v>不能因战斗复用接口误判杀人</x:v>
      </x:c>
      <x:c r="I12" s="11" t="str">
        <x:v>I01 / E04</x:v>
      </x:c>
    </x:row>
    <x:row r="13" ht="78" customHeight="1">
      <x:c r="A13" s="13" t="str">
        <x:v>攻击／缉拿</x:v>
      </x:c>
      <x:c r="B13" s="3" t="str">
        <x:v>目标是否允许、立场、任务权限</x:v>
      </x:c>
      <x:c r="C13" s="3" t="str">
        <x:v>战斗、伤势与追责风险</x:v>
      </x:c>
      <x:c r="D13" s="3" t="str">
        <x:v>击败、俘虏、击杀或迫退</x:v>
      </x:c>
      <x:c r="E13" s="3" t="str">
        <x:v>投降、被捕、逃跑或读档由规则决定</x:v>
      </x:c>
      <x:c r="F13" s="3" t="str">
        <x:v>目击与合法授权决定案件</x:v>
      </x:c>
      <x:c r="G13" s="3" t="str">
        <x:v>生命状态、门派、任务</x:v>
      </x:c>
      <x:c r="H13" s="3" t="str">
        <x:v>关键NPC死亡有替代交接或明确终止</x:v>
      </x:c>
      <x:c r="I13" s="3" t="str">
        <x:v>I07 / J05</x:v>
      </x:c>
    </x:row>
    <x:row r="14" ht="78" customHeight="1">
      <x:c r="A14" s="12" t="str">
        <x:v>邀请／离队</x:v>
      </x:c>
      <x:c r="B14" s="11" t="str">
        <x:v>关系、立场、剧情占用与队伍容量</x:v>
      </x:c>
      <x:c r="C14" s="11" t="str">
        <x:v>可能消耗承诺、奖励或时间</x:v>
      </x:c>
      <x:c r="D14" s="11" t="str">
        <x:v>NPC进入队伍并离开原地点</x:v>
      </x:c>
      <x:c r="E14" s="11" t="str">
        <x:v>满队可换人；拒绝说明条件</x:v>
      </x:c>
      <x:c r="F14" s="11" t="str">
        <x:v>在场同伴可能对此反应</x:v>
      </x:c>
      <x:c r="G14" s="11" t="str">
        <x:v>队伍、日程、装备、任务</x:v>
      </x:c>
      <x:c r="H14" s="11" t="str">
        <x:v>同一NPC不复制；离队后仍可定位</x:v>
      </x:c>
      <x:c r="I14" s="11" t="str">
        <x:v>G01 / G02</x:v>
      </x:c>
    </x:row>
    <x:row r="15" ht="78" customHeight="1">
      <x:c r="A15" s="13" t="str">
        <x:v>旅行／休息</x:v>
      </x:c>
      <x:c r="B15" s="3" t="str">
        <x:v>地图连通、权限、危险与限时承诺</x:v>
      </x:c>
      <x:c r="C15" s="3" t="str">
        <x:v>时间、路费；恢复或路遇</x:v>
      </x:c>
      <x:c r="D15" s="3" t="str">
        <x:v>抵达、恢复并结算世界事件</x:v>
      </x:c>
      <x:c r="E15" s="3" t="str">
        <x:v>封路、追捕或天气给绕行选择</x:v>
      </x:c>
      <x:c r="F15" s="3" t="str">
        <x:v>依据事件层级推进离屏状态</x:v>
      </x:c>
      <x:c r="G15" s="3" t="str">
        <x:v>时间、日程、任务、资源</x:v>
      </x:c>
      <x:c r="H15" s="3" t="str">
        <x:v>跨多日不漏刷新；关键截止时间提前提示</x:v>
      </x:c>
      <x:c r="I15" s="3" t="str">
        <x:v>B04 / D04</x:v>
      </x:c>
    </x:row>
    <x:row r="16" ht="78" customHeight="1">
      <x:c r="A16" s="12" t="str">
        <x:v>轻功／破障</x:v>
      </x:c>
      <x:c r="B16" s="11" t="str">
        <x:v>技能、体力、装备与障碍标签</x:v>
      </x:c>
      <x:c r="C16" s="11" t="str">
        <x:v>体力、耗时或工具</x:v>
      </x:c>
      <x:c r="D16" s="11" t="str">
        <x:v>打开近路或替代任务路线</x:v>
      </x:c>
      <x:c r="E16" s="11" t="str">
        <x:v>失败可退回安全位置</x:v>
      </x:c>
      <x:c r="F16" s="11" t="str">
        <x:v>侵入禁区仍可被发现</x:v>
      </x:c>
      <x:c r="G16" s="11" t="str">
        <x:v>地图、能力、权限</x:v>
      </x:c>
      <x:c r="H16" s="11" t="str">
        <x:v>位移不穿非法碰撞，不把越障变为万能钥匙</x:v>
      </x:c>
      <x:c r="I16" s="11" t="str">
        <x:v>C07 / H06</x:v>
      </x:c>
    </x:row>
    <x:row r="17" ht="78" customHeight="1">
      <x:c r="A17" s="13" t="str">
        <x:v>救治／制作</x:v>
      </x:c>
      <x:c r="B17" s="3" t="str">
        <x:v>医术或配方、材料、工具与目标状态</x:v>
      </x:c>
      <x:c r="C17" s="3" t="str">
        <x:v>材料、时间或货币</x:v>
      </x:c>
      <x:c r="D17" s="3" t="str">
        <x:v>恢复、产物、人情或任务分支</x:v>
      </x:c>
      <x:c r="E17" s="3" t="str">
        <x:v>不足不扣料；失败规则提前可见</x:v>
      </x:c>
      <x:c r="F17" s="3" t="str">
        <x:v>救治者与目标记录人情</x:v>
      </x:c>
      <x:c r="G17" s="3" t="str">
        <x:v>伤势、经济、关系、事件</x:v>
      </x:c>
      <x:c r="H17" s="3" t="str">
        <x:v>耗时期间到期事件仍正确处理</x:v>
      </x:c>
      <x:c r="I17" s="3" t="str">
        <x:v>M03 / M04</x:v>
      </x:c>
    </x:row>
    <x:row r="18" ht="78" customHeight="1">
      <x:c r="A18" s="12" t="str">
        <x:v>履约／失约</x:v>
      </x:c>
      <x:c r="B18" s="11" t="str">
        <x:v>承诺内容、截止时间、证据或交付物</x:v>
      </x:c>
      <x:c r="C18" s="11" t="str">
        <x:v>时间、物品或选择机会</x:v>
      </x:c>
      <x:c r="D18" s="11" t="str">
        <x:v>任务奖励、信任与后续委托</x:v>
      </x:c>
      <x:c r="E18" s="11" t="str">
        <x:v>失信、赔偿、任务关闭或替代方案</x:v>
      </x:c>
      <x:c r="F18" s="11" t="str">
        <x:v>只向有信息渠道的人传播</x:v>
      </x:c>
      <x:c r="G18" s="11" t="str">
        <x:v>承诺、关系、任务</x:v>
      </x:c>
      <x:c r="H18" s="11" t="str">
        <x:v>晚接、早做、提前拿物也能识别已满足条件</x:v>
      </x:c>
      <x:c r="I18" s="11" t="str">
        <x:v>J03 / J06</x:v>
      </x:c>
    </x:row>
    <x:row r="19" ht="78" customHeight="1">
      <x:c r="A19" s="13" t="str">
        <x:v>退门／叛门</x:v>
      </x:c>
      <x:c r="B19" s="3" t="str">
        <x:v>门派身份、贡献、秘籍归属和已知禁忌</x:v>
      </x:c>
      <x:c r="C19" s="3" t="str">
        <x:v>失去权限、补偿或追责</x:v>
      </x:c>
      <x:c r="D19" s="3" t="str">
        <x:v>身份变更、规则明确的武学保留</x:v>
      </x:c>
      <x:c r="E19" s="3" t="str">
        <x:v>被拒或触发逐出／追捕事件</x:v>
      </x:c>
      <x:c r="F19" s="3" t="str">
        <x:v>门派范围与消息扩散决定影响</x:v>
      </x:c>
      <x:c r="G19" s="3" t="str">
        <x:v>身份、门派、武学、商店</x:v>
      </x:c>
      <x:c r="H19" s="3" t="str">
        <x:v>门派任务中途变化后不残留不可完成目标</x:v>
      </x:c>
      <x:c r="I19" s="3" t="str">
        <x:v>F07 / N03</x:v>
      </x:c>
    </x:row>
    <x:row r="20" ht="78" customHeight="1">
      <x:c r="A20" s="12" t="str">
        <x:v>赔偿／作保</x:v>
      </x:c>
      <x:c r="B20" s="11" t="str">
        <x:v>案件、责任、见证人与担保者条件</x:v>
      </x:c>
      <x:c r="C20" s="11" t="str">
        <x:v>钱、人情、时间或任务</x:v>
      </x:c>
      <x:c r="D20" s="11" t="str">
        <x:v>解除部分追责、恢复通行</x:v>
      </x:c>
      <x:c r="E20" s="11" t="str">
        <x:v>条件不足保留案件并说明缺口</x:v>
      </x:c>
      <x:c r="F20" s="11" t="str">
        <x:v>案件有辖区，影响有边界</x:v>
      </x:c>
      <x:c r="G20" s="11" t="str">
        <x:v>治安、关系、时间、任务</x:v>
      </x:c>
      <x:c r="H20" s="11" t="str">
        <x:v>服刑跨日正确推进日程和截止任务</x:v>
      </x:c>
      <x:c r="I20" s="11" t="str">
        <x:v>N04 / D04</x:v>
      </x:c>
    </x:row>
    <x:row r="21" ht="78" customHeight="1">
      <x:c r="A21" s="13" t="str">
        <x:v>发现／传播消息</x:v>
      </x:c>
      <x:c r="B21" s="3" t="str">
        <x:v>玩家掌握线索、来源可信度与传播对象</x:v>
      </x:c>
      <x:c r="C21" s="3" t="str">
        <x:v>可选时间或人情</x:v>
      </x:c>
      <x:c r="D21" s="3" t="str">
        <x:v>开启事件、影响人物判断</x:v>
      </x:c>
      <x:c r="E21" s="3" t="str">
        <x:v>假消息可被驳斥，产生信任损失</x:v>
      </x:c>
      <x:c r="F21" s="3" t="str">
        <x:v>保留消息来源和获知范围</x:v>
      </x:c>
      <x:c r="G21" s="3" t="str">
        <x:v>知识、NPC记忆、事件</x:v>
      </x:c>
      <x:c r="H21" s="3" t="str">
        <x:v>系统真相与玩家知识不能混为一套字段</x:v>
      </x:c>
      <x:c r="I21" s="3" t="str">
        <x:v>K02 / E03</x:v>
      </x:c>
    </x:row>
  </x:sheetData>
  <x:pageMargins left="0.7" right="0.7" top="0.75" bottom="0.75" header="0.3" footer="0.3"/>
  <x:tableParts count="1">
    <x:tablePart xmlns:r="http://schemas.openxmlformats.org/officeDocument/2006/relationships" r:id="Ra7ed6994e3fc41f3"/>
  </x:tableParts>
</x:worksheet>
</file>

<file path=xl/worksheets/sheet5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37" hidden="0" customWidth="1"/>
    <x:col min="3" max="3" width="37" hidden="0" customWidth="1"/>
    <x:col min="4" max="4" width="40" hidden="0" customWidth="1"/>
    <x:col min="5" max="5" width="40" hidden="0" customWidth="1"/>
    <x:col min="6" max="6" width="42" hidden="0" customWidth="1"/>
    <x:col min="7" max="7" width="45" hidden="0" customWidth="1"/>
    <x:col min="8" max="8" width="20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武道｜美术资产与制作验收</x:v>
      </x:c>
      <x:c r="B2" s="3"/>
      <x:c r="C2" s="3"/>
      <x:c r="D2" s="3"/>
      <x:c r="E2" s="3"/>
      <x:c r="F2" s="3"/>
      <x:c r="G2" s="3"/>
      <x:c r="H2" s="3"/>
    </x:row>
    <x:row r="3" ht="23" customHeight="1">
      <x:c r="A3" s="7" t="str">
        <x:v>运行资产包含状态、方向、挂点和数据绑定；AI候选图须经过统一适配与人工验收。</x:v>
      </x:c>
      <x:c r="B3" s="3"/>
      <x:c r="C3" s="3"/>
      <x:c r="D3" s="3"/>
      <x:c r="E3" s="3"/>
      <x:c r="F3" s="3"/>
      <x:c r="G3" s="3"/>
      <x:c r="H3" s="3"/>
    </x:row>
    <x:row r="4" ht="10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10" t="str">
        <x:v>资产包</x:v>
      </x:c>
      <x:c r="B5" s="10" t="str">
        <x:v>需要制作的内容</x:v>
      </x:c>
      <x:c r="C5" s="10" t="str">
        <x:v>数量／估算口径</x:v>
      </x:c>
      <x:c r="D5" s="10" t="str">
        <x:v>状态与变体</x:v>
      </x:c>
      <x:c r="E5" s="10" t="str">
        <x:v>交付文件</x:v>
      </x:c>
      <x:c r="F5" s="10" t="str">
        <x:v>运行时验收</x:v>
      </x:c>
      <x:c r="G5" s="10" t="str">
        <x:v>生成与复用策略</x:v>
      </x:c>
      <x:c r="H5" s="10" t="str">
        <x:v>工作包</x:v>
      </x:c>
    </x:row>
    <x:row r="6" ht="86" customHeight="1">
      <x:c r="A6" s="12" t="str">
        <x:v>视觉标杆</x:v>
      </x:c>
      <x:c r="B6" s="11" t="str">
        <x:v>单镇日景、雨夜、室内、四人战斗</x:v>
      </x:c>
      <x:c r="C6" s="11" t="str">
        <x:v>4种可运行状态</x:v>
      </x:c>
      <x:c r="D6" s="11" t="str">
        <x:v>主角、建筑、地面、光照和UI一起评审</x:v>
      </x:c>
      <x:c r="E6" s="11" t="str">
        <x:v>源文件、导出资产、色板、比例与镜头参数</x:v>
      </x:c>
      <x:c r="F6" s="11" t="str">
        <x:v>真实目标分辨率下可读、动起来一致</x:v>
      </x:c>
      <x:c r="G6" s="11" t="str">
        <x:v>先完成；作为外包与生成资产的共同标准</x:v>
      </x:c>
      <x:c r="H6" s="11" t="str">
        <x:v>O01 / A05</x:v>
      </x:c>
    </x:row>
    <x:row r="7" ht="86" customHeight="1">
      <x:c r="A7" s="13" t="str">
        <x:v>区域场景套件</x:v>
      </x:c>
      <x:c r="B7" s="3" t="str">
        <x:v>地形、建筑、植被、道路、墙体</x:v>
      </x:c>
      <x:c r="C7" s="3" t="str">
        <x:f>"首发"&amp;'内容规模'!F6&amp;"区域；可共享基础组件"</x:f>
        <x:v>首发5区域；可共享基础组件</x:v>
      </x:c>
      <x:c r="D7" s="3" t="str">
        <x:v>模块尺寸、接缝、地面材质、季节不强制做全套</x:v>
      </x:c>
      <x:c r="E7" s="3" t="str">
        <x:v>分层源文件、图集、碰撞与遮挡数据</x:v>
      </x:c>
      <x:c r="F7" s="3" t="str">
        <x:v>拼接无明显接缝；近景中景远景层次清楚</x:v>
      </x:c>
      <x:c r="G7" s="3" t="str">
        <x:v>生成适合概念与材质提案，拼接及透视需人工修正</x:v>
      </x:c>
      <x:c r="H7" s="3" t="str">
        <x:v>O02 / O05</x:v>
      </x:c>
    </x:row>
    <x:row r="8" ht="86" customHeight="1">
      <x:c r="A8" s="12" t="str">
        <x:v>实际地图装配</x:v>
      </x:c>
      <x:c r="B8" s="11" t="str">
        <x:v>36张地图的构图、碰撞、照明和布点</x:v>
      </x:c>
      <x:c r="C8" s="11" t="str">
        <x:f>'内容规模'!F7&amp;"张地图；含完整运行配置"</x:f>
        <x:v>36张地图；含完整运行配置</x:v>
      </x:c>
      <x:c r="D8" s="11" t="str">
        <x:v>地图面积与互动密度共同计成本</x:v>
      </x:c>
      <x:c r="E8" s="11" t="str">
        <x:v>场景数据、资源引用、导航、事件层</x:v>
      </x:c>
      <x:c r="F8" s="11" t="str">
        <x:v>能够行走、互动和存读档；原画不算地图交付</x:v>
      </x:c>
      <x:c r="G8" s="11" t="str">
        <x:v>模板复用后仍需逐图关卡及运行时验收</x:v>
      </x:c>
      <x:c r="H8" s="11" t="str">
        <x:v>B09 / O07</x:v>
      </x:c>
    </x:row>
    <x:row r="9" ht="86" customHeight="1">
      <x:c r="A9" s="13" t="str">
        <x:v>交互物</x:v>
      </x:c>
      <x:c r="B9" s="3" t="str">
        <x:v>箱、门、药炉、告示、机关、容器</x:v>
      </x:c>
      <x:c r="C9" s="3" t="str">
        <x:v>按动词和状态统计，切片先做核心8—12种</x:v>
      </x:c>
      <x:c r="D9" s="3" t="str">
        <x:v>关闭／打开、完整／破坏、可用／不可用</x:v>
      </x:c>
      <x:c r="E9" s="3" t="str">
        <x:v>图层、锚点、碰撞、互动距离与状态映射</x:v>
      </x:c>
      <x:c r="F9" s="3" t="str">
        <x:v>外观状态与实际可操作状态一致</x:v>
      </x:c>
      <x:c r="G9" s="3" t="str">
        <x:v>先模板后派生，不用贴图数量代替交互数量</x:v>
      </x:c>
      <x:c r="H9" s="3" t="str">
        <x:v>O03 / C01</x:v>
      </x:c>
    </x:row>
    <x:row r="10" ht="86" customHeight="1">
      <x:c r="A10" s="12" t="str">
        <x:v>天气昼夜</x:v>
      </x:c>
      <x:c r="B10" s="11" t="str">
        <x:v>日景、夜景、雨雾和局部光源</x:v>
      </x:c>
      <x:c r="C10" s="11" t="str">
        <x:v>每区域验证必要组合，避免全组合量产</x:v>
      </x:c>
      <x:c r="D10" s="11" t="str">
        <x:v>层级、光照、地面湿润和粒子密度</x:v>
      </x:c>
      <x:c r="E10" s="11" t="str">
        <x:v>参数表、预设、性能档位</x:v>
      </x:c>
      <x:c r="F10" s="11" t="str">
        <x:v>夜晚、雨战和低特效模式均看清危险区</x:v>
      </x:c>
      <x:c r="G10" s="11" t="str">
        <x:v>主要用引擎参数与模板，不逐场景生成整张替换图</x:v>
      </x:c>
      <x:c r="H10" s="11" t="str">
        <x:v>O04 / T06</x:v>
      </x:c>
    </x:row>
    <x:row r="11" ht="86" customHeight="1">
      <x:c r="A11" s="13" t="str">
        <x:v>主角与同伴</x:v>
      </x:c>
      <x:c r="B11" s="3" t="str">
        <x:v>主角及8位同伴设计</x:v>
      </x:c>
      <x:c r="C11" s="3" t="str">
        <x:f>"主角＋"&amp;'内容规模'!F17&amp;"位同伴；换装另算"</x:f>
        <x:v>主角＋8位同伴；换装另算</x:v>
      </x:c>
      <x:c r="D11" s="3" t="str">
        <x:v>身体比例、武器、服装、肖像一致</x:v>
      </x:c>
      <x:c r="E11" s="3" t="str">
        <x:v>设定三视／方向参考、动作资产和源文件</x:v>
      </x:c>
      <x:c r="F11" s="3" t="str">
        <x:v>缩小到游戏尺寸仍可辨人和武器</x:v>
      </x:c>
      <x:c r="G11" s="3" t="str">
        <x:v>AI可做候选设定，最终模型／骨架／像素规范统一</x:v>
      </x:c>
      <x:c r="H11" s="3" t="str">
        <x:v>P01 / P07</x:v>
      </x:c>
    </x:row>
    <x:row r="12" ht="86" customHeight="1">
      <x:c r="A12" s="12" t="str">
        <x:v>其他命名NPC</x:v>
      </x:c>
      <x:c r="B12" s="11" t="str">
        <x:v>40名命名NPC扣除8同伴</x:v>
      </x:c>
      <x:c r="C12" s="11" t="str">
        <x:f>('内容规模'!F15-'内容规模'!F17)&amp;"名；允许体型与基础动作复用"</x:f>
        <x:v>32名；允许体型与基础动作复用</x:v>
      </x:c>
      <x:c r="D12" s="11" t="str">
        <x:v>职业、势力、年龄与轮廓区分</x:v>
      </x:c>
      <x:c r="E12" s="11" t="str">
        <x:v>角色外观、必要动作、人物档案引用</x:v>
      </x:c>
      <x:c r="F12" s="11" t="str">
        <x:v>不会因复用使核心剧情人物难以辨认</x:v>
      </x:c>
      <x:c r="G12" s="11" t="str">
        <x:v>独有外观不等于每人独有全套动画</x:v>
      </x:c>
      <x:c r="H12" s="11" t="str">
        <x:v>P02 / E09</x:v>
      </x:c>
    </x:row>
    <x:row r="13" ht="86" customHeight="1">
      <x:c r="A13" s="13" t="str">
        <x:v>背景人群</x:v>
      </x:c>
      <x:c r="B13" s="3" t="str">
        <x:v>60个背景NPC实例</x:v>
      </x:c>
      <x:c r="C13" s="3" t="str">
        <x:f>'内容规模'!F16&amp;"个实例；资产按模板与组合统计"</x:f>
        <x:v>60个实例；资产按模板与组合统计</x:v>
      </x:c>
      <x:c r="D13" s="3" t="str">
        <x:v>基础动作、方向、颜色和职业配件</x:v>
      </x:c>
      <x:c r="E13" s="3" t="str">
        <x:v>模板、实例配置、LOD或简化策略</x:v>
      </x:c>
      <x:c r="F13" s="3" t="str">
        <x:v>同屏密度合理，重复感受控，不承诺复杂行为</x:v>
      </x:c>
      <x:c r="G13" s="3" t="str">
        <x:v>模板数量由试排场景决定，不直接做60套美术</x:v>
      </x:c>
      <x:c r="H13" s="3" t="str">
        <x:v>E08 / P02</x:v>
      </x:c>
    </x:row>
    <x:row r="14" ht="86" customHeight="1">
      <x:c r="A14" s="12" t="str">
        <x:v>常规敌人</x:v>
      </x:c>
      <x:c r="B14" s="11" t="str">
        <x:v>12个行为原型</x:v>
      </x:c>
      <x:c r="C14" s="11" t="str">
        <x:f>'内容规模'!F19&amp;"个行为原型；外观族另计"</x:f>
        <x:v>12个行为原型；外观族另计</x:v>
      </x:c>
      <x:c r="D14" s="11" t="str">
        <x:v>辨认武器、护甲与战术职责</x:v>
      </x:c>
      <x:c r="E14" s="11" t="str">
        <x:v>外观、动作、受击和退场资产</x:v>
      </x:c>
      <x:c r="F14" s="11" t="str">
        <x:v>从轮廓和起手能推断关键威胁</x:v>
      </x:c>
      <x:c r="G14" s="11" t="str">
        <x:v>避免只变颜色；行为与动作轮廓共同区分</x:v>
      </x:c>
      <x:c r="H14" s="11" t="str">
        <x:v>I05 / P05</x:v>
      </x:c>
    </x:row>
    <x:row r="15" ht="86" customHeight="1">
      <x:c r="A15" s="13" t="str">
        <x:v>首领</x:v>
      </x:c>
      <x:c r="B15" s="3" t="str">
        <x:v>6个机制独立首领</x:v>
      </x:c>
      <x:c r="C15" s="3" t="str">
        <x:f>'内容规模'!F20&amp;"个；逐个估算完整表现成本"</x:f>
        <x:v>6个；逐个估算完整表现成本</x:v>
      </x:c>
      <x:c r="D15" s="3" t="str">
        <x:v>预告、阶段变化、特殊攻击、受击和退场</x:v>
      </x:c>
      <x:c r="E15" s="3" t="str">
        <x:v>完整状态集、事件点、特效挂点与音频</x:v>
      </x:c>
      <x:c r="F15" s="3" t="str">
        <x:v>攻击有明确预告与应对窗口</x:v>
      </x:c>
      <x:c r="G15" s="3" t="str">
        <x:v>关键独有动作优先人工制作与精修</x:v>
      </x:c>
      <x:c r="H15" s="3" t="str">
        <x:v>I10 / P05</x:v>
      </x:c>
    </x:row>
    <x:row r="16" ht="86" customHeight="1">
      <x:c r="A16" s="12" t="str">
        <x:v>探索动画</x:v>
      </x:c>
      <x:c r="B16" s="11" t="str">
        <x:v>待机、走、跑、互动、打坐、伤、倒地</x:v>
      </x:c>
      <x:c r="C16" s="11" t="str">
        <x:v>预算按体型族×方向×动作状态估算</x:v>
      </x:c>
      <x:c r="D16" s="11" t="str">
        <x:v>先定4或8方向；镜像需检查非对称元素</x:v>
      </x:c>
      <x:c r="E16" s="11" t="str">
        <x:v>动画源文件、帧序／骨架、根节点和锚点</x:v>
      </x:c>
      <x:c r="F16" s="11" t="str">
        <x:v>脚不滑、转向不跳、挂点稳定</x:v>
      </x:c>
      <x:c r="G16" s="11" t="str">
        <x:v>不能把单张生图当连续动画资产</x:v>
      </x:c>
      <x:c r="H16" s="11" t="str">
        <x:v>P03 / U06</x:v>
      </x:c>
    </x:row>
    <x:row r="17" ht="86" customHeight="1">
      <x:c r="A17" s="13" t="str">
        <x:v>战斗基础动画</x:v>
      </x:c>
      <x:c r="B17" s="3" t="str">
        <x:v>攻击、受击、格挡、闪避、蓄力、死亡</x:v>
      </x:c>
      <x:c r="C17" s="3" t="str">
        <x:v>按兵器动作族×方向×关键动作统计</x:v>
      </x:c>
      <x:c r="D17" s="3" t="str">
        <x:v>命中时间、轨迹、受击停顿与速度档位</x:v>
      </x:c>
      <x:c r="E17" s="3" t="str">
        <x:v>动画事件、动作片段、武器绑定</x:v>
      </x:c>
      <x:c r="F17" s="3" t="str">
        <x:v>动作与判定吻合，快进后顺序仍正确</x:v>
      </x:c>
      <x:c r="G17" s="3" t="str">
        <x:v>共用骨架＋动作族优先；专属招式有单独预算</x:v>
      </x:c>
      <x:c r="H17" s="3" t="str">
        <x:v>P04 / P05</x:v>
      </x:c>
    </x:row>
    <x:row r="18" ht="86" customHeight="1">
      <x:c r="A18" s="12" t="str">
        <x:v>武学效果</x:v>
      </x:c>
      <x:c r="B18" s="11" t="str">
        <x:v>60条武学的表现映射</x:v>
      </x:c>
      <x:c r="C18" s="11" t="str">
        <x:f>'内容规模'!F21&amp;"条武学；其中"&amp;'内容规模'!F22&amp;"条主动招式"</x:f>
        <x:v>60条武学；其中30条主动招式</x:v>
      </x:c>
      <x:c r="D18" s="11" t="str">
        <x:v>动作族、特效模板、音效、范围与节奏参数</x:v>
      </x:c>
      <x:c r="E18" s="11" t="str">
        <x:v>技能到表现模板的映射表</x:v>
      </x:c>
      <x:c r="F18" s="11" t="str">
        <x:v>技能可辨识，同时满足复用和性能要求</x:v>
      </x:c>
      <x:c r="G18" s="11" t="str">
        <x:v>禁止仅以名称和特效颜色区分全部流派</x:v>
      </x:c>
      <x:c r="H18" s="11" t="str">
        <x:v>H09 / Q05</x:v>
      </x:c>
    </x:row>
    <x:row r="19" ht="86" customHeight="1">
      <x:c r="A19" s="13" t="str">
        <x:v>肖像与表情</x:v>
      </x:c>
      <x:c r="B19" s="3" t="str">
        <x:v>核心角色和关键剧情NPC</x:v>
      </x:c>
      <x:c r="C19" s="3" t="str">
        <x:v>按实际对白名单及情绪需求定量</x:v>
      </x:c>
      <x:c r="D19" s="3" t="str">
        <x:v>中立、愤怒、受伤等必要表情</x:v>
      </x:c>
      <x:c r="E19" s="3" t="str">
        <x:v>可编辑分层文件、头像裁切和情绪索引</x:v>
      </x:c>
      <x:c r="F19" s="3" t="str">
        <x:v>场景角色与肖像一致，尺寸缩放不糊</x:v>
      </x:c>
      <x:c r="G19" s="3" t="str">
        <x:v>生成后统一五官比例、服饰和画风并人工修正</x:v>
      </x:c>
      <x:c r="H19" s="3" t="str">
        <x:v>P06 / J04</x:v>
      </x:c>
    </x:row>
    <x:row r="20" ht="86" customHeight="1">
      <x:c r="A20" s="12" t="str">
        <x:v>战斗预警与状态</x:v>
      </x:c>
      <x:c r="B20" s="11" t="str">
        <x:v>范围、选中、路径、危险、异常状态</x:v>
      </x:c>
      <x:c r="C20" s="11" t="str">
        <x:v>全套规则标签，配高对比版本</x:v>
      </x:c>
      <x:c r="D20" s="11" t="str">
        <x:v>友敌、中立、蓄力、持续和消失</x:v>
      </x:c>
      <x:c r="E20" s="11" t="str">
        <x:v>模板、参数、图标与可访问性变体</x:v>
      </x:c>
      <x:c r="F20" s="11" t="str">
        <x:v>不依赖单一颜色，不被天气遮挡</x:v>
      </x:c>
      <x:c r="G20" s="11" t="str">
        <x:v>使用矢量或引擎几何，避免生成模糊判定边界</x:v>
      </x:c>
      <x:c r="H20" s="11" t="str">
        <x:v>Q01 / R07</x:v>
      </x:c>
    </x:row>
    <x:row r="21" ht="86" customHeight="1">
      <x:c r="A21" s="13" t="str">
        <x:v>装备与物品图标</x:v>
      </x:c>
      <x:c r="B21" s="3" t="str">
        <x:v>60装备＋20消耗品＋24材料</x:v>
      </x:c>
      <x:c r="C21" s="3" t="str">
        <x:f>SUM('内容规模'!F33,'内容规模'!F34,'内容规模'!F35)&amp;"条基础图标引用"</x:f>
        <x:v>104条基础图标引用</x:v>
      </x:c>
      <x:c r="D21" s="3" t="str">
        <x:v>尺寸、背景、品质、选中和堆叠角标</x:v>
      </x:c>
      <x:c r="E21" s="3" t="str">
        <x:v>源文件、图集、物品ID映射</x:v>
      </x:c>
      <x:c r="F21" s="3" t="str">
        <x:v>小尺寸清晰；不能把不同用途画成不可辨认图标</x:v>
      </x:c>
      <x:c r="G21" s="3" t="str">
        <x:v>生成候选＋统一修边，质量和绑定由人工检查</x:v>
      </x:c>
      <x:c r="H21" s="3" t="str">
        <x:v>L08 / U06</x:v>
      </x:c>
    </x:row>
    <x:row r="22" ht="86" customHeight="1">
      <x:c r="A22" s="12" t="str">
        <x:v>武学图标</x:v>
      </x:c>
      <x:c r="B22" s="11" t="str">
        <x:v>60条武学</x:v>
      </x:c>
      <x:c r="C22" s="11" t="str">
        <x:f>'内容规模'!F21&amp;"条武学图标引用"</x:f>
        <x:v>60条武学图标引用</x:v>
      </x:c>
      <x:c r="D22" s="11" t="str">
        <x:v>类别轮廓、流派识别、锁定与装备状态</x:v>
      </x:c>
      <x:c r="E22" s="11" t="str">
        <x:v>源文件、图集、武学ID映射</x:v>
      </x:c>
      <x:c r="F22" s="11" t="str">
        <x:v>列表与快捷栏尺寸都可读</x:v>
      </x:c>
      <x:c r="G22" s="11" t="str">
        <x:v>不要把复杂插画缩小充当图标</x:v>
      </x:c>
      <x:c r="H22" s="11" t="str">
        <x:v>H09 / R03</x:v>
      </x:c>
    </x:row>
    <x:row r="23" ht="86" customHeight="1">
      <x:c r="A23" s="13" t="str">
        <x:v>界面与地图</x:v>
      </x:c>
      <x:c r="B23" s="3" t="str">
        <x:v>HUD、背包、角色、门派、任务、商店、制作</x:v>
      </x:c>
      <x:c r="C23" s="3" t="str">
        <x:v>按界面状态统计，含空态和错误态</x:v>
      </x:c>
      <x:c r="D23" s="3" t="str">
        <x:v>键鼠／手柄、常规／大字号、长文本</x:v>
      </x:c>
      <x:c r="E23" s="3" t="str">
        <x:v>设计稿、组件库、切图与交互状态说明</x:v>
      </x:c>
      <x:c r="F23" s="3" t="str">
        <x:v>能完成真实任务，不仅提供静态界面效果图</x:v>
      </x:c>
      <x:c r="G23" s="3" t="str">
        <x:v>图标与边框优先组件化、矢量化</x:v>
      </x:c>
      <x:c r="H23" s="3" t="str">
        <x:v>R01 / R08</x:v>
      </x:c>
    </x:row>
    <x:row r="24" ht="86" customHeight="1">
      <x:c r="A24" s="12" t="str">
        <x:v>剧情演出</x:v>
      </x:c>
      <x:c r="B24" s="11" t="str">
        <x:v>关键场景分镜、走位、镜头与必要插画</x:v>
      </x:c>
      <x:c r="C24" s="11" t="str">
        <x:v>先按事件重要性分级，再逐段估时</x:v>
      </x:c>
      <x:c r="D24" s="11" t="str">
        <x:v>正常播放、跳过、缺席替代、读档恢复</x:v>
      </x:c>
      <x:c r="E24" s="11" t="str">
        <x:v>分镜、演出配置、动画音频引用</x:v>
      </x:c>
      <x:c r="F24" s="11" t="str">
        <x:v>跳过不丢状态；演出结束控制必定回归</x:v>
      </x:c>
      <x:c r="G24" s="11" t="str">
        <x:v>插画只用于明确场景，不扩大为全程高成本过场</x:v>
      </x:c>
      <x:c r="H24" s="11" t="str">
        <x:v>S05 / J04</x:v>
      </x:c>
    </x:row>
    <x:row r="25" ht="86" customHeight="1">
      <x:c r="A25" s="13" t="str">
        <x:v>音效与环境声</x:v>
      </x:c>
      <x:c r="B25" s="3" t="str">
        <x:v>脚步、兵器、技能、商店、天气和人群</x:v>
      </x:c>
      <x:c r="C25" s="3" t="str">
        <x:v>按材质与动作模板统计</x:v>
      </x:c>
      <x:c r="D25" s="3" t="str">
        <x:v>距离、随机变体、混音总线和字幕信息</x:v>
      </x:c>
      <x:c r="E25" s="3" t="str">
        <x:v>音频源、导出格式、循环点、事件映射</x:v>
      </x:c>
      <x:c r="F25" s="3" t="str">
        <x:v>无爆音、明显循环接缝或重复叠播</x:v>
      </x:c>
      <x:c r="G25" s="3" t="str">
        <x:v>可采购合规音源；需要统一混音和素材登记</x:v>
      </x:c>
      <x:c r="H25" s="3" t="str">
        <x:v>S02 / S03</x:v>
      </x:c>
    </x:row>
    <x:row r="26" ht="86" customHeight="1">
      <x:c r="A26" s="12" t="str">
        <x:v>音乐与语音</x:v>
      </x:c>
      <x:c r="B26" s="11" t="str">
        <x:v>区域与战斗主题、关键语音</x:v>
      </x:c>
      <x:c r="C26" s="11" t="str">
        <x:v>主题数和语音字数在S2锁定</x:v>
      </x:c>
      <x:c r="D26" s="11" t="str">
        <x:v>循环、情绪层、转场、字幕与语言</x:v>
      </x:c>
      <x:c r="E26" s="11" t="str">
        <x:v>源工程或授权成品、分轨／提示点和文本</x:v>
      </x:c>
      <x:c r="F26" s="11" t="str">
        <x:v>音量平衡，文案改动可追踪到音频</x:v>
      </x:c>
      <x:c r="G26" s="11" t="str">
        <x:v>不默认全语音；把改稿返工纳入预算</x:v>
      </x:c>
      <x:c r="H26" s="11" t="str">
        <x:v>S04 / S05</x:v>
      </x:c>
    </x:row>
    <x:row r="27" ht="86" customHeight="1">
      <x:c r="A27" s="13" t="str">
        <x:v>自动化与生成资产流程</x:v>
      </x:c>
      <x:c r="B27" s="3" t="str">
        <x:v>需求卡→候选→定稿→适配→导入→运行验收</x:v>
      </x:c>
      <x:c r="C27" s="3" t="str">
        <x:v>全资产适用，生成只覆盖适合的步骤</x:v>
      </x:c>
      <x:c r="D27" s="3" t="str">
        <x:v>版本、尺寸、方向、透明边缘、版权来源和源文件</x:v>
      </x:c>
      <x:c r="E27" s="3" t="str">
        <x:v>提示记录、选稿、人工修改记录、检查报告</x:v>
      </x:c>
      <x:c r="F27" s="3" t="str">
        <x:v>不合格候选不得直接进入首发包</x:v>
      </x:c>
      <x:c r="G27" s="3" t="str">
        <x:v>自动处理命名、切图、图集、缩略图和缺项检查</x:v>
      </x:c>
      <x:c r="H27" s="3" t="str">
        <x:v>W06 / U06</x:v>
      </x:c>
    </x:row>
  </x:sheetData>
  <x:pageMargins left="0.7" right="0.7" top="0.75" bottom="0.75" header="0.3" footer="0.3"/>
  <x:tableParts count="1">
    <x:tablePart xmlns:r="http://schemas.openxmlformats.org/officeDocument/2006/relationships" r:id="R67bd9e7218d24f9c"/>
  </x:tableParts>
</x:worksheet>
</file>

<file path=xl/worksheets/sheet6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48" hidden="0" customWidth="1"/>
    <x:col min="3" max="3" width="45" hidden="0" customWidth="1"/>
    <x:col min="4" max="4" width="41" hidden="0" customWidth="1"/>
    <x:col min="5" max="5" width="46" hidden="0" customWidth="1"/>
    <x:col min="6" max="6" width="37" hidden="0" customWidth="1"/>
    <x:col min="7" max="7" width="20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武道｜数据边界与内容工具</x:v>
      </x:c>
      <x:c r="B2" s="3"/>
      <x:c r="C2" s="3"/>
      <x:c r="D2" s="3"/>
      <x:c r="E2" s="3"/>
      <x:c r="F2" s="3"/>
      <x:c r="G2" s="3"/>
    </x:row>
    <x:row r="3" ht="23" customHeight="1">
      <x:c r="A3" s="7" t="str">
        <x:v>稳定ID、权威状态和事件协议先统一；地图、人物、任务、武学由工具生产和校验。</x:v>
      </x:c>
      <x:c r="B3" s="3"/>
      <x:c r="C3" s="3"/>
      <x:c r="D3" s="3"/>
      <x:c r="E3" s="3"/>
      <x:c r="F3" s="3"/>
      <x:c r="G3" s="3"/>
    </x:row>
    <x:row r="4" ht="10" customHeight="1">
      <x:c r="A4" s="3"/>
      <x:c r="B4" s="3"/>
      <x:c r="C4" s="3"/>
      <x:c r="D4" s="3"/>
      <x:c r="E4" s="3"/>
      <x:c r="F4" s="3"/>
      <x:c r="G4" s="3"/>
    </x:row>
    <x:row r="5" ht="32" customHeight="1">
      <x:c r="A5" s="10" t="str">
        <x:v>实体／服务</x:v>
      </x:c>
      <x:c r="B5" s="10" t="str">
        <x:v>关键字段</x:v>
      </x:c>
      <x:c r="C5" s="10" t="str">
        <x:v>状态归属与生命周期</x:v>
      </x:c>
      <x:c r="D5" s="10" t="str">
        <x:v>制作／调试工具</x:v>
      </x:c>
      <x:c r="E5" s="10" t="str">
        <x:v>硬性不变量</x:v>
      </x:c>
      <x:c r="F5" s="10" t="str">
        <x:v>边界案例</x:v>
      </x:c>
      <x:c r="G5" s="10" t="str">
        <x:v>工作包</x:v>
      </x:c>
    </x:row>
    <x:row r="6" ht="78" customHeight="1">
      <x:c r="A6" s="12" t="str">
        <x:v>世界状态</x:v>
      </x:c>
      <x:c r="B6" s="11" t="str">
        <x:v>世界ID／状态版本／绝对时间／区域阶段</x:v>
      </x:c>
      <x:c r="C6" s="11" t="str">
        <x:v>权威状态仓库；地图卸载后仍保留</x:v>
      </x:c>
      <x:c r="D6" s="11" t="str">
        <x:v>命令记录、时间推进及事件消费</x:v>
      </x:c>
      <x:c r="E6" s="11" t="str">
        <x:v>只通过事务修改；禁止UI私自写字段</x:v>
      </x:c>
      <x:c r="F6" s="11" t="str">
        <x:v>时间跳跃／事件重放／读旧档</x:v>
      </x:c>
      <x:c r="G6" s="11" t="str">
        <x:v>T02 / D01</x:v>
      </x:c>
    </x:row>
    <x:row r="7" ht="78" customHeight="1">
      <x:c r="A7" s="13" t="str">
        <x:v>地点与地图</x:v>
      </x:c>
      <x:c r="B7" s="3" t="str">
        <x:v>地图ID／出口／碰撞／权限／状态层／兴趣点</x:v>
      </x:c>
      <x:c r="C7" s="3" t="str">
        <x:v>场景数据与状态增量分离</x:v>
      </x:c>
      <x:c r="D7" s="3" t="str">
        <x:v>地图编辑器、导航与遮挡预览</x:v>
      </x:c>
      <x:c r="E7" s="3" t="str">
        <x:v>出口可达、出生点合法、引用有效</x:v>
      </x:c>
      <x:c r="F7" s="3" t="str">
        <x:v>封路／多入口／回访改变</x:v>
      </x:c>
      <x:c r="G7" s="3" t="str">
        <x:v>B02 / U02</x:v>
      </x:c>
    </x:row>
    <x:row r="8" ht="78" customHeight="1">
      <x:c r="A8" s="12" t="str">
        <x:v>NPC</x:v>
      </x:c>
      <x:c r="B8" s="11" t="str">
        <x:v>NPC ID／生命状态／身份／阵营／位置／日程／背包</x:v>
      </x:c>
      <x:c r="C8" s="11" t="str">
        <x:v>唯一角色实体；队伍与场景引用同一对象</x:v>
      </x:c>
      <x:c r="D8" s="11" t="str">
        <x:v>人物编辑器及位置追踪</x:v>
      </x:c>
      <x:c r="E8" s="11" t="str">
        <x:v>不可同时在队伍和原场景出现</x:v>
      </x:c>
      <x:c r="F8" s="11" t="str">
        <x:v>入队／离队／死亡／失踪</x:v>
      </x:c>
      <x:c r="G8" s="11" t="str">
        <x:v>E01 / G01</x:v>
      </x:c>
    </x:row>
    <x:row r="9" ht="78" customHeight="1">
      <x:c r="A9" s="13" t="str">
        <x:v>关系与记忆</x:v>
      </x:c>
      <x:c r="B9" s="3" t="str">
        <x:v>主体／客体／维度／事件来源／时间／可知范围</x:v>
      </x:c>
      <x:c r="C9" s="3" t="str">
        <x:v>社交服务；持久事件摘要</x:v>
      </x:c>
      <x:c r="D9" s="3" t="str">
        <x:v>关系调试、赠礼与承诺记录</x:v>
      </x:c>
      <x:c r="E9" s="3" t="str">
        <x:v>NPC只依据已知事件，不直接读取世界真相</x:v>
      </x:c>
      <x:c r="F9" s="3" t="str">
        <x:v>误传／失信／偿还／见证者死亡</x:v>
      </x:c>
      <x:c r="G9" s="3" t="str">
        <x:v>E02 / E03</x:v>
      </x:c>
    </x:row>
    <x:row r="10" ht="78" customHeight="1">
      <x:c r="A10" s="12" t="str">
        <x:v>势力与身份</x:v>
      </x:c>
      <x:c r="B10" s="11" t="str">
        <x:v>势力ID／外交／声望／权限／禁忌／师承</x:v>
      </x:c>
      <x:c r="C10" s="11" t="str">
        <x:v>势力服务与玩家身份组件</x:v>
      </x:c>
      <x:c r="D10" s="11" t="str">
        <x:v>门派表、权限预览</x:v>
      </x:c>
      <x:c r="E10" s="11" t="str">
        <x:v>个人关系、治安与门派态度不混为同一数字</x:v>
      </x:c>
      <x:c r="F10" s="11" t="str">
        <x:v>退门／叛门／兼修／敌对</x:v>
      </x:c>
      <x:c r="G10" s="11" t="str">
        <x:v>F01 / F07</x:v>
      </x:c>
    </x:row>
    <x:row r="11" ht="78" customHeight="1">
      <x:c r="A11" s="13" t="str">
        <x:v>物品定义与实例</x:v>
      </x:c>
      <x:c r="B11" s="3" t="str">
        <x:v>定义ID／实例ID／类型／所有者／来源／数量／唯一性</x:v>
      </x:c>
      <x:c r="C11" s="3" t="str">
        <x:v>背包、商店、装备共用物品域</x:v>
      </x:c>
      <x:c r="D11" s="3" t="str">
        <x:v>物品编辑器、来源链与库存检查</x:v>
      </x:c>
      <x:c r="E11" s="3" t="str">
        <x:v>唯一物唯一；扣费与转移一起成功或回滚</x:v>
      </x:c>
      <x:c r="F11" s="3" t="str">
        <x:v>偷取／归还／出售／没收／掉落</x:v>
      </x:c>
      <x:c r="G11" s="3" t="str">
        <x:v>L01 / L06</x:v>
      </x:c>
    </x:row>
    <x:row r="12" ht="78" customHeight="1">
      <x:c r="A12" s="12" t="str">
        <x:v>武学与属性</x:v>
      </x:c>
      <x:c r="B12" s="11" t="str">
        <x:v>武学ID／类别／条件／代价／效果／表现ID</x:v>
      </x:c>
      <x:c r="C12" s="11" t="str">
        <x:v>纯规则计算与表现映射分离</x:v>
      </x:c>
      <x:c r="D12" s="11" t="str">
        <x:v>技能预览、属性来源与构筑对比</x:v>
      </x:c>
      <x:c r="E12" s="11" t="str">
        <x:v>文案、UI和战斗引用同一效果数据</x:v>
      </x:c>
      <x:c r="F12" s="11" t="str">
        <x:v>武器不符／叠加／重修／离队</x:v>
      </x:c>
      <x:c r="G12" s="11" t="str">
        <x:v>H01 / U05</x:v>
      </x:c>
    </x:row>
    <x:row r="13" ht="78" customHeight="1">
      <x:c r="A13" s="13" t="str">
        <x:v>队伍与角色成长</x:v>
      </x:c>
      <x:c r="B13" s="3" t="str">
        <x:v>成员ID／候补／角色状态／装备／位置／立场</x:v>
      </x:c>
      <x:c r="C13" s="3" t="str">
        <x:v>队伍服务；NPC实体继续存续</x:v>
      </x:c>
      <x:c r="D13" s="3" t="str">
        <x:v>组队、换人、测试满编入口</x:v>
      </x:c>
      <x:c r="E13" s="3" t="str">
        <x:v>不复制角色及物品；队员缺席有解释</x:v>
      </x:c>
      <x:c r="F13" s="3" t="str">
        <x:v>满员／离队／受伤／死亡／再招募</x:v>
      </x:c>
      <x:c r="G13" s="3" t="str">
        <x:v>G01 / G08</x:v>
      </x:c>
    </x:row>
    <x:row r="14" ht="78" customHeight="1">
      <x:c r="A14" s="12" t="str">
        <x:v>任务与承诺</x:v>
      </x:c>
      <x:c r="B14" s="11" t="str">
        <x:v>任务ID／状态／条件／事件／排他／奖励键／兜底</x:v>
      </x:c>
      <x:c r="C14" s="11" t="str">
        <x:v>任务服务；不依赖当前剧情画面名</x:v>
      </x:c>
      <x:c r="D14" s="11" t="str">
        <x:v>任务图与依赖检查</x:v>
      </x:c>
      <x:c r="E14" s="11" t="str">
        <x:v>关键目标失效必须替代、关闭或结算</x:v>
      </x:c>
      <x:c r="F14" s="11" t="str">
        <x:v>先做后接／提前取物／目标敌对</x:v>
      </x:c>
      <x:c r="G14" s="11" t="str">
        <x:v>J01 / U04</x:v>
      </x:c>
    </x:row>
    <x:row r="15" ht="78" customHeight="1">
      <x:c r="A15" s="13" t="str">
        <x:v>对话与演出</x:v>
      </x:c>
      <x:c r="B15" s="3" t="str">
        <x:v>文本键／说话人／条件／选项／效果／镜头／回退</x:v>
      </x:c>
      <x:c r="C15" s="3" t="str">
        <x:v>对话只发命令，不直接写业务字段</x:v>
      </x:c>
      <x:c r="D15" s="3" t="str">
        <x:v>对白图、分镜与文本预览</x:v>
      </x:c>
      <x:c r="E15" s="3" t="str">
        <x:v>重复打开、退出或跳过不重复执行效果</x:v>
      </x:c>
      <x:c r="F15" s="3" t="str">
        <x:v>说话人缺席／长文本／快进</x:v>
      </x:c>
      <x:c r="G15" s="3" t="str">
        <x:v>J04 / S01</x:v>
      </x:c>
    </x:row>
    <x:row r="16" ht="78" customHeight="1">
      <x:c r="A16" s="12" t="str">
        <x:v>世界事件与调度</x:v>
      </x:c>
      <x:c r="B16" s="11" t="str">
        <x:v>事件ID／触发时间／条件／优先级／占用／取消键</x:v>
      </x:c>
      <x:c r="C16" s="11" t="str">
        <x:v>单一调度器；离屏批量推进</x:v>
      </x:c>
      <x:c r="D16" s="11" t="str">
        <x:v>事件队列、时间轴与冲突检查</x:v>
      </x:c>
      <x:c r="E16" s="11" t="str">
        <x:v>防循环触发；一次跳时不漏事件</x:v>
      </x:c>
      <x:c r="F16" s="11" t="str">
        <x:v>跨日／休息／坐牢／读档</x:v>
      </x:c>
      <x:c r="G16" s="11" t="str">
        <x:v>D04 / T03</x:v>
      </x:c>
    </x:row>
    <x:row r="17" ht="78" customHeight="1">
      <x:c r="A17" s="13" t="str">
        <x:v>知识与传闻</x:v>
      </x:c>
      <x:c r="B17" s="3" t="str">
        <x:v>线索ID／内容键／来源／可信度／已知状态</x:v>
      </x:c>
      <x:c r="C17" s="3" t="str">
        <x:v>玩家知识与NPC记忆分离</x:v>
      </x:c>
      <x:c r="D17" s="3" t="str">
        <x:v>线索板及验证状态编辑</x:v>
      </x:c>
      <x:c r="E17" s="3" t="str">
        <x:v>未知事实不得自动解锁推理结果</x:v>
      </x:c>
      <x:c r="F17" s="3" t="str">
        <x:v>先见证后听闻／误传／反证</x:v>
      </x:c>
      <x:c r="G17" s="3" t="str">
        <x:v>K02 / J07</x:v>
      </x:c>
    </x:row>
    <x:row r="18" ht="78" customHeight="1">
      <x:c r="A18" s="12" t="str">
        <x:v>战斗实例</x:v>
      </x:c>
      <x:c r="B18" s="11" t="str">
        <x:v>战场ID／参与者／占位／队列／状态／随机源／结果</x:v>
      </x:c>
      <x:c r="C18" s="11" t="str">
        <x:v>独立战斗实例；结算后回写世界</x:v>
      </x:c>
      <x:c r="D18" s="11" t="str">
        <x:v>战斗沙盒、种子与指令重放</x:v>
      </x:c>
      <x:c r="E18" s="11" t="str">
        <x:v>表现无法改变规则结果；结算幂等</x:v>
      </x:c>
      <x:c r="F18" s="11" t="str">
        <x:v>切磋／逃跑／投降／中途退出</x:v>
      </x:c>
      <x:c r="G18" s="11" t="str">
        <x:v>I02 / T04</x:v>
      </x:c>
    </x:row>
    <x:row r="19" ht="78" customHeight="1">
      <x:c r="A19" s="13" t="str">
        <x:v>商店与配方</x:v>
      </x:c>
      <x:c r="B19" s="3" t="str">
        <x:v>商人ID／库存周期／价格规则／配方ID／材料／耗时</x:v>
      </x:c>
      <x:c r="C19" s="3" t="str">
        <x:v>经济服务及统一世界时钟</x:v>
      </x:c>
      <x:c r="D19" s="3" t="str">
        <x:v>库存、配方和收支检查</x:v>
      </x:c>
      <x:c r="E19" s="3" t="str">
        <x:v>补货窗口唯一；制造不出现负库存</x:v>
      </x:c>
      <x:c r="F19" s="3" t="str">
        <x:v>跨日购买／批量制作／材料不足</x:v>
      </x:c>
      <x:c r="G19" s="3" t="str">
        <x:v>L03 / M03</x:v>
      </x:c>
    </x:row>
    <x:row r="20" ht="78" customHeight="1">
      <x:c r="A20" s="12" t="str">
        <x:v>表现资产</x:v>
      </x:c>
      <x:c r="B20" s="11" t="str">
        <x:v>资产ID／版本／类型／锚点／方向／状态／来源</x:v>
      </x:c>
      <x:c r="C20" s="11" t="str">
        <x:v>资产注册表与加载器</x:v>
      </x:c>
      <x:c r="D20" s="11" t="str">
        <x:v>导入器、缺项检查和全状态预览</x:v>
      </x:c>
      <x:c r="E20" s="11" t="str">
        <x:v>运行引用有效、方向齐全、预算达标</x:v>
      </x:c>
      <x:c r="F20" s="11" t="str">
        <x:v>资源丢失／低画质／快进</x:v>
      </x:c>
      <x:c r="G20" s="11" t="str">
        <x:v>U06 / T06</x:v>
      </x:c>
    </x:row>
    <x:row r="21" ht="78" customHeight="1">
      <x:c r="A21" s="13" t="str">
        <x:v>存档与版本</x:v>
      </x:c>
      <x:c r="B21" s="3" t="str">
        <x:v>版本号／校验／世界状态／必要随机态／迁移链</x:v>
      </x:c>
      <x:c r="C21" s="3" t="str">
        <x:v>平台存储适配器；不存DOM或临时动画引用</x:v>
      </x:c>
      <x:c r="D21" s="3" t="str">
        <x:v>版本样本库、恢复工具与迁移报告</x:v>
      </x:c>
      <x:c r="E21" s="3" t="str">
        <x:v>中断写入保留有效旧档；兼容失败说明原因</x:v>
      </x:c>
      <x:c r="F21" s="3" t="str">
        <x:v>旧档／坏档／云冲突／离线</x:v>
      </x:c>
      <x:c r="G21" s="3" t="str">
        <x:v>T05 / W03</x:v>
      </x:c>
    </x:row>
  </x:sheetData>
  <x:pageMargins left="0.7" right="0.7" top="0.75" bottom="0.75" header="0.3" footer="0.3"/>
  <x:tableParts count="1">
    <x:tablePart xmlns:r="http://schemas.openxmlformats.org/officeDocument/2006/relationships" r:id="Rf9fc95cc8bf6473e"/>
  </x:tableParts>
</x:worksheet>
</file>

<file path=xl/worksheets/sheet7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40" hidden="0" customWidth="1"/>
    <x:col min="4" max="4" width="46" hidden="0" customWidth="1"/>
    <x:col min="5" max="5" width="48" hidden="0" customWidth="1"/>
    <x:col min="6" max="6" width="47" hidden="0" customWidth="1"/>
    <x:col min="7" max="7" width="26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武道｜阶段门与组合验收</x:v>
      </x:c>
      <x:c r="B2" s="3"/>
      <x:c r="C2" s="3"/>
      <x:c r="D2" s="3"/>
      <x:c r="E2" s="3"/>
      <x:c r="F2" s="3"/>
      <x:c r="G2" s="3"/>
    </x:row>
    <x:row r="3" ht="23" customHeight="1">
      <x:c r="A3" s="7" t="str">
        <x:v>验收是继续投入的依据。单系统完成并不表示跨系统组合已通过。</x:v>
      </x:c>
      <x:c r="B3" s="3"/>
      <x:c r="C3" s="3"/>
      <x:c r="D3" s="3"/>
      <x:c r="E3" s="3"/>
      <x:c r="F3" s="3"/>
      <x:c r="G3" s="3"/>
    </x:row>
    <x:row r="4" ht="10" customHeight="1">
      <x:c r="A4" s="3"/>
      <x:c r="B4" s="3"/>
      <x:c r="C4" s="3"/>
      <x:c r="D4" s="3"/>
      <x:c r="E4" s="3"/>
      <x:c r="F4" s="3"/>
      <x:c r="G4" s="3"/>
    </x:row>
    <x:row r="5" ht="32" customHeight="1">
      <x:c r="A5" s="10" t="str">
        <x:v>类型</x:v>
      </x:c>
      <x:c r="B5" s="10" t="str">
        <x:v>阶段／案例</x:v>
      </x:c>
      <x:c r="C5" s="10" t="str">
        <x:v>目标／触发操作</x:v>
      </x:c>
      <x:c r="D5" s="10" t="str">
        <x:v>需检查的交付与状态</x:v>
      </x:c>
      <x:c r="E5" s="10" t="str">
        <x:v>通过条件</x:v>
      </x:c>
      <x:c r="F5" s="10" t="str">
        <x:v>注意点</x:v>
      </x:c>
      <x:c r="G5" s="10" t="str">
        <x:v>工作包</x:v>
      </x:c>
    </x:row>
    <x:row r="6" ht="88" customHeight="1">
      <x:c r="A6" s="12" t="str">
        <x:v>阶段门</x:v>
      </x:c>
      <x:c r="B6" s="11" t="str">
        <x:v>S0 定标</x:v>
      </x:c>
      <x:c r="C6" s="11" t="str">
        <x:v>锁定产品、视角、战斗、平台与自由度边界</x:v>
      </x:c>
      <x:c r="D6" s="11" t="str">
        <x:v>规则原型、视觉样板、引擎评估、范围和数据规范</x:v>
      </x:c>
      <x:c r="E6" s="11" t="str">
        <x:v>关键决策有书面记录；选定生产路线</x:v>
      </x:c>
      <x:c r="F6" s="11" t="str">
        <x:v>未定标不量产地图、角色和剧情</x:v>
      </x:c>
      <x:c r="G6" s="11" t="str">
        <x:v>A01—A08 / T01 / V01</x:v>
      </x:c>
    </x:row>
    <x:row r="7" ht="88" customHeight="1">
      <x:c r="A7" s="13" t="str">
        <x:v>阶段门</x:v>
      </x:c>
      <x:c r="B7" s="3" t="str">
        <x:v>S1 单镇切片</x:v>
      </x:c>
      <x:c r="C7" s="3" t="str">
        <x:v>验证沙盒核心循环与实际画面</x:v>
      </x:c>
      <x:c r="D7" s="3" t="str">
        <x:v>六张地图、十名命名NPC、一门派、两伙伴、八任务包</x:v>
      </x:c>
      <x:c r="E7" s="3" t="str">
        <x:v>陌生玩家60—90分钟完成一条路径；另测四人满编及多解路径</x:v>
      </x:c>
      <x:c r="F7" s="3" t="str">
        <x:v>重点看规则能否组合、可读性、失败恢复和资产真实成本</x:v>
      </x:c>
      <x:c r="G7" s="3" t="str">
        <x:v>B06 / C08 / I06 / V05</x:v>
      </x:c>
    </x:row>
    <x:row r="8" ht="88" customHeight="1">
      <x:c r="A8" s="12" t="str">
        <x:v>阶段门</x:v>
      </x:c>
      <x:c r="B8" s="11" t="str">
        <x:v>S2 区域验证</x:v>
      </x:c>
      <x:c r="C8" s="11" t="str">
        <x:v>检验复用、跨区、日程、互斥与内容工具</x:v>
      </x:c>
      <x:c r="D8" s="11" t="str">
        <x:v>十二地图、两门派、四伙伴、二十八任务包</x:v>
      </x:c>
      <x:c r="E8" s="11" t="str">
        <x:v>第二组内容不用复制主程序；跨日、退门、NPC暂离均能闭环</x:v>
      </x:c>
      <x:c r="F8" s="11" t="str">
        <x:v>发现架构与工具问题先修，再扩大规模</x:v>
      </x:c>
      <x:c r="G8" s="11" t="str">
        <x:v>U08 / D05 / F07 / V04</x:v>
      </x:c>
    </x:row>
    <x:row r="9" ht="88" customHeight="1">
      <x:c r="A9" s="13" t="str">
        <x:v>阶段门</x:v>
      </x:c>
      <x:c r="B9" s="3" t="str">
        <x:v>S3 首发量产</x:v>
      </x:c>
      <x:c r="C9" s="3" t="str">
        <x:v>按已经验证的流程完成首发</x:v>
      </x:c>
      <x:c r="D9" s="3" t="str">
        <x:v>内容表中的地图、角色、武学、任务及完整发行包</x:v>
      </x:c>
      <x:c r="E9" s="3" t="str">
        <x:v>主要路线通关；严重缺陷清零；性能、存档和资产检查通过</x:v>
      </x:c>
      <x:c r="F9" s="3" t="str">
        <x:v>内容完成、质量完成、发布就绪分开签署</x:v>
      </x:c>
      <x:c r="G9" s="3" t="str">
        <x:v>J09 / P07 / V09 / W08</x:v>
      </x:c>
    </x:row>
    <x:row r="10" ht="88" customHeight="1">
      <x:c r="A10" s="12" t="str">
        <x:v>阶段门</x:v>
      </x:c>
      <x:c r="B10" s="11" t="str">
        <x:v>S4 后续评估</x:v>
      </x:c>
      <x:c r="C10" s="11" t="str">
        <x:v>有证据后再加入昂贵扩展</x:v>
      </x:c>
      <x:c r="D10" s="11" t="str">
        <x:v>经营、动态战争、第二战斗制式、模组或新平台提案</x:v>
      </x:c>
      <x:c r="E10" s="11" t="str">
        <x:v>用户价值、成本和维护责任成立后另行立项</x:v>
      </x:c>
      <x:c r="F10" s="11" t="str">
        <x:v>不列为首发必需项</x:v>
      </x:c>
      <x:c r="G10" s="11" t="str">
        <x:v>X01—X06</x:v>
      </x:c>
    </x:row>
    <x:row r="11" ht="88" customHeight="1">
      <x:c r="A11" s="13" t="str">
        <x:v>组合验收</x:v>
      </x:c>
      <x:c r="B11" s="3" t="str">
        <x:v>提前拿到任务物</x:v>
      </x:c>
      <x:c r="C11" s="3" t="str">
        <x:v>先拿秘籍，后接委托</x:v>
      </x:c>
      <x:c r="D11" s="3" t="str">
        <x:v>目标识别已有物；唯一奖励不重复发</x:v>
      </x:c>
      <x:c r="E11" s="3" t="str">
        <x:v>任务可交付或给出已处理说明</x:v>
      </x:c>
      <x:c r="F11" s="3" t="str">
        <x:v>同时检验物品实例、奖励幂等和对白条件</x:v>
      </x:c>
      <x:c r="G11" s="3" t="str">
        <x:v>C05 / J05 / L01</x:v>
      </x:c>
    </x:row>
    <x:row r="12" ht="88" customHeight="1">
      <x:c r="A12" s="12" t="str">
        <x:v>组合验收</x:v>
      </x:c>
      <x:c r="B12" s="11" t="str">
        <x:v>任务对象入队</x:v>
      </x:c>
      <x:c r="C12" s="11" t="str">
        <x:v>接任务后邀请目标入队</x:v>
      </x:c>
      <x:c r="D12" s="11" t="str">
        <x:v>地图移除目标，队伍仍有任务对话入口</x:v>
      </x:c>
      <x:c r="E12" s="11" t="str">
        <x:v>存读档后人物、物品与任务不复制、不丢失</x:v>
      </x:c>
      <x:c r="F12" s="11" t="str">
        <x:v>不能只测原地点点击NPC</x:v>
      </x:c>
      <x:c r="G12" s="11" t="str">
        <x:v>G01 / J05</x:v>
      </x:c>
    </x:row>
    <x:row r="13" ht="88" customHeight="1">
      <x:c r="A13" s="13" t="str">
        <x:v>组合验收</x:v>
      </x:c>
      <x:c r="B13" s="3" t="str">
        <x:v>目标死亡或失踪</x:v>
      </x:c>
      <x:c r="C13" s="3" t="str">
        <x:v>交付前目标死亡或离城</x:v>
      </x:c>
      <x:c r="D13" s="3" t="str">
        <x:v>替代联系人、信件、关闭或补偿方案</x:v>
      </x:c>
      <x:c r="E13" s="3" t="str">
        <x:v>玩家能理解结果，主流程无悬空硬锁</x:v>
      </x:c>
      <x:c r="F13" s="3" t="str">
        <x:v>按重要度分层，不承诺所有NPC均可杀</x:v>
      </x:c>
      <x:c r="G13" s="3" t="str">
        <x:v>E07 / J05</x:v>
      </x:c>
    </x:row>
    <x:row r="14" ht="88" customHeight="1">
      <x:c r="A14" s="12" t="str">
        <x:v>组合验收</x:v>
      </x:c>
      <x:c r="B14" s="11" t="str">
        <x:v>偷取与目击</x:v>
      </x:c>
      <x:c r="C14" s="11" t="str">
        <x:v>相同偷取行为分别有无目击者</x:v>
      </x:c>
      <x:c r="D14" s="11" t="str">
        <x:v>所有权、证据、举报范围与追责差异</x:v>
      </x:c>
      <x:c r="E14" s="11" t="str">
        <x:v>没有无条件全球知情；调查后能传播</x:v>
      </x:c>
      <x:c r="F14" s="11" t="str">
        <x:v>分别检查UI预警和实际状态</x:v>
      </x:c>
      <x:c r="G14" s="11" t="str">
        <x:v>N02 / L06</x:v>
      </x:c>
    </x:row>
    <x:row r="15" ht="88" customHeight="1">
      <x:c r="A15" s="13" t="str">
        <x:v>组合验收</x:v>
      </x:c>
      <x:c r="B15" s="3" t="str">
        <x:v>退门后继续任务</x:v>
      </x:c>
      <x:c r="C15" s="3" t="str">
        <x:v>接门派任务后退门或逐出</x:v>
      </x:c>
      <x:c r="D15" s="3" t="str">
        <x:v>权限、秘籍、门派任务和追责同步变化</x:v>
      </x:c>
      <x:c r="E15" s="3" t="str">
        <x:v>任务终止、变更或继续的规则可解释</x:v>
      </x:c>
      <x:c r="F15" s="3" t="str">
        <x:v>保留技能规则在操作前可见</x:v>
      </x:c>
      <x:c r="G15" s="3" t="str">
        <x:v>F07 / J06</x:v>
      </x:c>
    </x:row>
    <x:row r="16" ht="88" customHeight="1">
      <x:c r="A16" s="12" t="str">
        <x:v>组合验收</x:v>
      </x:c>
      <x:c r="B16" s="11" t="str">
        <x:v>跨多日旅行休息</x:v>
      </x:c>
      <x:c r="C16" s="11" t="str">
        <x:v>进入下一地区或休息数日</x:v>
      </x:c>
      <x:c r="D16" s="11" t="str">
        <x:v>日程、库存、传闻、追捕与承诺一起推进</x:v>
      </x:c>
      <x:c r="E16" s="11" t="str">
        <x:v>不会漏结算、重复刷新或默默错过关键截止时间</x:v>
      </x:c>
      <x:c r="F16" s="11" t="str">
        <x:v>用同一绝对时间驱动全部服务</x:v>
      </x:c>
      <x:c r="G16" s="11" t="str">
        <x:v>D04 / D06</x:v>
      </x:c>
    </x:row>
    <x:row r="17" ht="88" customHeight="1">
      <x:c r="A17" s="13" t="str">
        <x:v>组合验收</x:v>
      </x:c>
      <x:c r="B17" s="3" t="str">
        <x:v>失败继续游玩</x:v>
      </x:c>
      <x:c r="C17" s="3" t="str">
        <x:v>切磋失败、被捕、生死战失败各一次</x:v>
      </x:c>
      <x:c r="D17" s="3" t="str">
        <x:v>不同结算、物品损失、伤势和回到世界流程</x:v>
      </x:c>
      <x:c r="E17" s="3" t="str">
        <x:v>非致命失败仍可继续；严重风险明确提示</x:v>
      </x:c>
      <x:c r="F17" s="3" t="str">
        <x:v>失败是内容路径之一</x:v>
      </x:c>
      <x:c r="G17" s="3" t="str">
        <x:v>I07 / N04</x:v>
      </x:c>
    </x:row>
    <x:row r="18" ht="88" customHeight="1">
      <x:c r="A18" s="12" t="str">
        <x:v>组合验收</x:v>
      </x:c>
      <x:c r="B18" s="11" t="str">
        <x:v>背包与商店边界</x:v>
      </x:c>
      <x:c r="C18" s="11" t="str">
        <x:v>满背包、钱不足、快速连点、刷新时交易</x:v>
      </x:c>
      <x:c r="D18" s="11" t="str">
        <x:v>交易全成或全不成，无负数或复制</x:v>
      </x:c>
      <x:c r="E18" s="11" t="str">
        <x:v>检验货币、物品实例与任务标记</x:v>
      </x:c>
      <x:c r="F18" s="11" t="str">
        <x:v>不能以禁用按钮代替服务端式命令校验</x:v>
      </x:c>
      <x:c r="G18" s="11" t="str">
        <x:v>C03 / L03</x:v>
      </x:c>
    </x:row>
    <x:row r="19" ht="88" customHeight="1">
      <x:c r="A19" s="13" t="str">
        <x:v>组合验收</x:v>
      </x:c>
      <x:c r="B19" s="3" t="str">
        <x:v>队员离队与再加入</x:v>
      </x:c>
      <x:c r="C19" s="3" t="str">
        <x:v>离队前换装，随后跨图并读档再招募</x:v>
      </x:c>
      <x:c r="D19" s="3" t="str">
        <x:v>角色状态、随身物品、关系和所在位置正确</x:v>
      </x:c>
      <x:c r="E19" s="3" t="str">
        <x:v>四人满队、重伤和剧情占用都有处理</x:v>
      </x:c>
      <x:c r="F19" s="3" t="str">
        <x:v>原剧情的辅助行动不等于完整队伍</x:v>
      </x:c>
      <x:c r="G19" s="3" t="str">
        <x:v>G08 / V03</x:v>
      </x:c>
    </x:row>
    <x:row r="20" ht="88" customHeight="1">
      <x:c r="A20" s="12" t="str">
        <x:v>组合验收</x:v>
      </x:c>
      <x:c r="B20" s="11" t="str">
        <x:v>演出跳过与恢复</x:v>
      </x:c>
      <x:c r="C20" s="11" t="str">
        <x:v>对白中退出、跳过演出后存档再加载</x:v>
      </x:c>
      <x:c r="D20" s="11" t="str">
        <x:v>命令只执行一次，控制与镜头恢复</x:v>
      </x:c>
      <x:c r="E20" s="11" t="str">
        <x:v>无重复奖励、隐形角色或失去输入焦点</x:v>
      </x:c>
      <x:c r="F20" s="11" t="str">
        <x:v>检查每类演出模板后抽查量产内容</x:v>
      </x:c>
      <x:c r="G20" s="11" t="str">
        <x:v>J04 / S01</x:v>
      </x:c>
    </x:row>
    <x:row r="21" ht="88" customHeight="1">
      <x:c r="A21" s="13" t="str">
        <x:v>组合验收</x:v>
      </x:c>
      <x:c r="B21" s="3" t="str">
        <x:v>能力替代解法</x:v>
      </x:c>
      <x:c r="C21" s="3" t="str">
        <x:v>轻功、医术、交涉分别绕过一处障碍</x:v>
      </x:c>
      <x:c r="D21" s="3" t="str">
        <x:v>获得同目标的不同代价与后果</x:v>
      </x:c>
      <x:c r="E21" s="3" t="str">
        <x:v>任务识别替代路线，不强制回头再做战斗步骤</x:v>
      </x:c>
      <x:c r="F21" s="3" t="str">
        <x:v>“开放”必须由真实可玩的分支证明</x:v>
      </x:c>
      <x:c r="G21" s="3" t="str">
        <x:v>C07 / J03</x:v>
      </x:c>
    </x:row>
    <x:row r="22" ht="88" customHeight="1">
      <x:c r="A22" s="12" t="str">
        <x:v>组合验收</x:v>
      </x:c>
      <x:c r="B22" s="11" t="str">
        <x:v>首发长流程与兼容</x:v>
      </x:c>
      <x:c r="C22" s="11" t="str">
        <x:v>主要路线通关、旧版存档升级及坏档恢复</x:v>
      </x:c>
      <x:c r="D22" s="11" t="str">
        <x:v>升级日志、恢复结果和完整通关记录</x:v>
      </x:c>
      <x:c r="E22" s="11" t="str">
        <x:v>零阻断／严重缺陷；其他问题有明确处理决策</x:v>
      </x:c>
      <x:c r="F22" s="11" t="str">
        <x:v>本工作簿只规划此验收，没有声称已执行</x:v>
      </x:c>
      <x:c r="G22" s="11" t="str">
        <x:v>V09 / T05</x:v>
      </x:c>
    </x:row>
  </x:sheetData>
  <x:pageMargins left="0.7" right="0.7" top="0.75" bottom="0.75" header="0.3" footer="0.3"/>
  <x:tableParts count="1">
    <x:tablePart xmlns:r="http://schemas.openxmlformats.org/officeDocument/2006/relationships" r:id="R978ef77ebe444116"/>
  </x:tableParts>
</x:worksheet>
</file>

<file path=xl/worksheets/sheet8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47" hidden="0" customWidth="1"/>
    <x:col min="3" max="3" width="39" hidden="0" customWidth="1"/>
    <x:col min="4" max="4" width="48" hidden="0" customWidth="1"/>
    <x:col min="5" max="5" width="52" hidden="0" customWidth="1"/>
    <x:col min="6" max="6" width="48" hidden="0" customWidth="1"/>
  </x:cols>
  <x:sheetData>
    <x:row r="1" ht="10" customHeight="1">
      <x:c r="A1" s="3"/>
      <x:c r="B1" s="3"/>
      <x:c r="C1" s="3"/>
      <x:c r="D1" s="3"/>
      <x:c r="E1" s="3"/>
      <x:c r="F1" s="3"/>
    </x:row>
    <x:row r="2" ht="30" customHeight="1">
      <x:c r="A2" s="5" t="str">
        <x:v>武道｜现有基础与转型处理</x:v>
      </x:c>
      <x:c r="B2" s="3"/>
      <x:c r="C2" s="3"/>
      <x:c r="D2" s="3"/>
      <x:c r="E2" s="3"/>
      <x:c r="F2" s="3"/>
    </x:row>
    <x:row r="3" ht="23" customHeight="1">
      <x:c r="A3" s="7" t="str">
        <x:v>审计依据：本地3107843版本静态检查。未在本轮运行测试，未修改项目代码。</x:v>
      </x:c>
      <x:c r="B3" s="3"/>
      <x:c r="C3" s="3"/>
      <x:c r="D3" s="3"/>
      <x:c r="E3" s="3"/>
      <x:c r="F3" s="3"/>
    </x:row>
    <x:row r="4" ht="10" customHeight="1">
      <x:c r="A4" s="3"/>
      <x:c r="B4" s="3"/>
      <x:c r="C4" s="3"/>
      <x:c r="D4" s="3"/>
      <x:c r="E4" s="3"/>
      <x:c r="F4" s="3"/>
    </x:row>
    <x:row r="5" ht="32" customHeight="1">
      <x:c r="A5" s="10" t="str">
        <x:v>模块</x:v>
      </x:c>
      <x:c r="B5" s="10" t="str">
        <x:v>当前观察</x:v>
      </x:c>
      <x:c r="C5" s="10" t="str">
        <x:v>可保留价值</x:v>
      </x:c>
      <x:c r="D5" s="10" t="str">
        <x:v>转型需要完成</x:v>
      </x:c>
      <x:c r="E5" s="10" t="str">
        <x:v>判断边界</x:v>
      </x:c>
      <x:c r="F5" s="10" t="str">
        <x:v>本地源码依据</x:v>
      </x:c>
    </x:row>
    <x:row r="6" ht="82" customHeight="1">
      <x:c r="A6" s="12" t="str">
        <x:v>审计口径</x:v>
      </x:c>
      <x:c r="B6" s="11" t="str">
        <x:v>本地快照 3107843</x:v>
      </x:c>
      <x:c r="C6" s="11" t="str">
        <x:v>静态代码检查；未运行本轮测试或完整实玩</x:v>
      </x:c>
      <x:c r="D6" s="11" t="str">
        <x:v>不是远端最新版本或已上线质量结论</x:v>
      </x:c>
      <x:c r="E6" s="11" t="str">
        <x:v>建议转换工作默认未开始，不代表旧项目全部未做</x:v>
      </x:c>
      <x:c r="F6" s="11" t="str">
        <x:v>git log / git status</x:v>
      </x:c>
    </x:row>
    <x:row r="7" ht="82" customHeight="1">
      <x:c r="A7" s="13" t="str">
        <x:v>整体产品流程</x:v>
      </x:c>
      <x:c r="B7" s="3" t="str">
        <x:v>剧情画面与选择驱动；状态含大量剧情专用字段</x:v>
      </x:c>
      <x:c r="C7" s="3" t="str">
        <x:v>wudao-app.mjs 内集中状态、渲染与处理函数</x:v>
      </x:c>
      <x:c r="D7" s="3" t="str">
        <x:v>拆为世界状态、服务、命令和场景表现</x:v>
      </x:c>
      <x:c r="E7" s="3" t="str">
        <x:v>扩展时不能继续给主文件叠加大量地图特例</x:v>
      </x:c>
      <x:c r="F7" s="3" t="str">
        <x:v>web/wudao-app.mjs</x:v>
      </x:c>
    </x:row>
    <x:row r="8" ht="82" customHeight="1">
      <x:c r="A8" s="12" t="str">
        <x:v>世界时间</x:v>
      </x:c>
      <x:c r="B8" s="11" t="str">
        <x:v>已有统一单位、绝对时间转换与迁移</x:v>
      </x:c>
      <x:c r="C8" s="11" t="str">
        <x:v>时间工具可作为基础</x:v>
      </x:c>
      <x:c r="D8" s="11" t="str">
        <x:v>增加调度器、NPC日程、耗时规则及跨日批处理</x:v>
      </x:c>
      <x:c r="E8" s="11" t="str">
        <x:v>已有时钟不等于已有完整动态世界</x:v>
      </x:c>
      <x:c r="F8" s="11" t="str">
        <x:v>web/world-time.mjs</x:v>
      </x:c>
    </x:row>
    <x:row r="9" ht="82" customHeight="1">
      <x:c r="A9" s="13" t="str">
        <x:v>关系系统</x:v>
      </x:c>
      <x:c r="B9" s="3" t="str">
        <x:v>已有好感、信任、人情、怀疑等维度</x:v>
      </x:c>
      <x:c r="C9" s="3" t="str">
        <x:v>原有主要剧情NPC关系数据可复用设计</x:v>
      </x:c>
      <x:c r="D9" s="3" t="str">
        <x:v>泛化到NPC实体、目击记忆、服务和门派</x:v>
      </x:c>
      <x:c r="E9" s="3" t="str">
        <x:v>增加数据驱动配置与来源解释</x:v>
      </x:c>
      <x:c r="F9" s="3" t="str">
        <x:v>web/wudao-p0-core.mjs</x:v>
      </x:c>
    </x:row>
    <x:row r="10" ht="82" customHeight="1">
      <x:c r="A10" s="12" t="str">
        <x:v>条件与效果</x:v>
      </x:c>
      <x:c r="B10" s="11" t="str">
        <x:v>已有字段、物品、武学、线索、关系条件和幂等键</x:v>
      </x:c>
      <x:c r="C10" s="11" t="str">
        <x:v>适合作为规则原型与测试行为参考</x:v>
      </x:c>
      <x:c r="D10" s="11" t="str">
        <x:v>增加原子事务、订阅与统一失败原因</x:v>
      </x:c>
      <x:c r="E10" s="11" t="str">
        <x:v>当前效果顺序执行不应直接当完整交易回滚系统</x:v>
      </x:c>
      <x:c r="F10" s="11" t="str">
        <x:v>web/wudao-p0-core.mjs</x:v>
      </x:c>
    </x:row>
    <x:row r="11" ht="82" customHeight="1">
      <x:c r="A11" s="13" t="str">
        <x:v>武学</x:v>
      </x:c>
      <x:c r="B11" s="3" t="str">
        <x:v>已有学习、训练、突破、装配、武器条件和协同</x:v>
      </x:c>
      <x:c r="C11" s="3" t="str">
        <x:v>可保留核心分类、规则及数值数据</x:v>
      </x:c>
      <x:c r="D11" s="3" t="str">
        <x:v>扩展探索用途、门派授艺、多人构筑及表现映射</x:v>
      </x:c>
      <x:c r="E11" s="3" t="str">
        <x:v>换引擎时复用规则契约与数据，不直接复用JS执行代码</x:v>
      </x:c>
      <x:c r="F11" s="3" t="str">
        <x:v>web/martial-system.mjs</x:v>
      </x:c>
    </x:row>
    <x:row r="12" ht="82" customHeight="1">
      <x:c r="A12" s="12" t="str">
        <x:v>装备与角色</x:v>
      </x:c>
      <x:c r="B12" s="11" t="str">
        <x:v>已有装备、生命状态和派生属性</x:v>
      </x:c>
      <x:c r="C12" s="11" t="str">
        <x:v>可复用属性计算与装配语义</x:v>
      </x:c>
      <x:c r="D12" s="11" t="str">
        <x:v>统一角色实体、物品实例、装备归属及队伍</x:v>
      </x:c>
      <x:c r="E12" s="11" t="str">
        <x:v>需避免原物品表与新域数据成为双重来源</x:v>
      </x:c>
      <x:c r="F12" s="11" t="str">
        <x:v>web/character-system.mjs</x:v>
      </x:c>
    </x:row>
    <x:row r="13" ht="82" customHeight="1">
      <x:c r="A13" s="13" t="str">
        <x:v>背包</x:v>
      </x:c>
      <x:c r="B13" s="3" t="str">
        <x:v>已有物品目录、使用条件与筛选</x:v>
      </x:c>
      <x:c r="C13" s="3" t="str">
        <x:v>基础定义可映射</x:v>
      </x:c>
      <x:c r="D13" s="3" t="str">
        <x:v>重构唯一实例、所有权、赃物、交易和制作</x:v>
      </x:c>
      <x:c r="E13" s="3" t="str">
        <x:v>统一任务物、装备和普通物品引用</x:v>
      </x:c>
      <x:c r="F13" s="3" t="str">
        <x:v>web/inventory-core.mjs</x:v>
      </x:c>
    </x:row>
    <x:row r="14" ht="82" customHeight="1">
      <x:c r="A14" s="12" t="str">
        <x:v>战斗</x:v>
      </x:c>
      <x:c r="B14" s="11" t="str">
        <x:v>已有行动资源、位置、敌队列、伤势、环境与记录</x:v>
      </x:c>
      <x:c r="C14" s="11" t="str">
        <x:v>规则和测试可作迁移基准</x:v>
      </x:c>
      <x:c r="D14" s="11" t="str">
        <x:v>建设四人操控、空间规则、AI、战场与世界结算</x:v>
      </x:c>
      <x:c r="E14" s="11" t="str">
        <x:v>不是只换画面；需要完整多人战斗规则验证</x:v>
      </x:c>
      <x:c r="F14" s="11" t="str">
        <x:v>web/combat-engine.mjs</x:v>
      </x:c>
    </x:row>
    <x:row r="15" ht="82" customHeight="1">
      <x:c r="A15" s="13" t="str">
        <x:v>同伴</x:v>
      </x:c>
      <x:c r="B15" s="3" t="str">
        <x:v>现有辅助关系行动可参与战斗</x:v>
      </x:c>
      <x:c r="C15" s="3" t="str">
        <x:v>能证明关系参与战斗的方向</x:v>
      </x:c>
      <x:c r="D15" s="3" t="str">
        <x:v>新增独立角色状态、装备、技能、入离队与日程</x:v>
      </x:c>
      <x:c r="E15" s="3" t="str">
        <x:v>辅助触发不等于完整可操控队伍</x:v>
      </x:c>
      <x:c r="F15" s="3" t="str">
        <x:v>web/combat-engine.mjs / tests/</x:v>
      </x:c>
    </x:row>
    <x:row r="16" ht="82" customHeight="1">
      <x:c r="A16" s="12" t="str">
        <x:v>局部探索</x:v>
      </x:c>
      <x:c r="B16" s="11" t="str">
        <x:v>破庙有区域、物件、时间窗、条件与事件</x:v>
      </x:c>
      <x:c r="C16" s="11" t="str">
        <x:v>可选为首个事件模板或回归样本</x:v>
      </x:c>
      <x:c r="D16" s="11" t="str">
        <x:v>泛化为地图、对象、交互组件及可复用任务事件</x:v>
      </x:c>
      <x:c r="E16" s="11" t="str">
        <x:v>保留经过验证的剧情素材，避免复制硬编码模块</x:v>
      </x:c>
      <x:c r="F16" s="11" t="str">
        <x:v>web/temple-exploration.mjs</x:v>
      </x:c>
    </x:row>
    <x:row r="17" ht="82" customHeight="1">
      <x:c r="A17" s="13" t="str">
        <x:v>3D行走原型</x:v>
      </x:c>
      <x:c r="B17" s="3" t="str">
        <x:v>已有破庙碰撞、锚点与路径辅助</x:v>
      </x:c>
      <x:c r="C17" s="3" t="str">
        <x:v>已有局部空间探索证明</x:v>
      </x:c>
      <x:c r="D17" s="3" t="str">
        <x:v>根据2D视觉方向重建生产级场景表现与工具</x:v>
      </x:c>
      <x:c r="E17" s="3" t="str">
        <x:v>不能说原项目完全没有移动，也不能视为多地区世界已完成</x:v>
      </x:c>
      <x:c r="F17" s="3" t="str">
        <x:v>web/world3d-layout.mjs</x:v>
      </x:c>
    </x:row>
    <x:row r="18" ht="82" customHeight="1">
      <x:c r="A18" s="12" t="str">
        <x:v>知识与传闻</x:v>
      </x:c>
      <x:c r="B18" s="11" t="str">
        <x:v>已有线索、听闻、确认、反证等记录</x:v>
      </x:c>
      <x:c r="C18" s="11" t="str">
        <x:v>知识模型可保留</x:v>
      </x:c>
      <x:c r="D18" s="11" t="str">
        <x:v>扩展消息来源、NPC知情范围与任务日志</x:v>
      </x:c>
      <x:c r="E18" s="11" t="str">
        <x:v>玩家已知事实与世界真相要分开</x:v>
      </x:c>
      <x:c r="F18" s="11" t="str">
        <x:v>web/knowledge-core.mjs</x:v>
      </x:c>
    </x:row>
    <x:row r="19" ht="82" customHeight="1">
      <x:c r="A19" s="13" t="str">
        <x:v>存档</x:v>
      </x:c>
      <x:c r="B19" s="3" t="str">
        <x:v>已有校验、备份恢复与多版本迁移</x:v>
      </x:c>
      <x:c r="C19" s="3" t="str">
        <x:v>保留恢复思路和旧档样本</x:v>
      </x:c>
      <x:c r="D19" s="3" t="str">
        <x:v>新世界状态版本化，处理NPC、事件队列与物品实例</x:v>
      </x:c>
      <x:c r="E19" s="3" t="str">
        <x:v>是否保持所有旧剧情存档兼容应在S0明确成本和范围</x:v>
      </x:c>
      <x:c r="F19" s="3" t="str">
        <x:v>web/save-core.mjs / web/wudao-app.mjs</x:v>
      </x:c>
    </x:row>
    <x:row r="20" ht="82" customHeight="1">
      <x:c r="A20" s="12" t="str">
        <x:v>内容与测试</x:v>
      </x:c>
      <x:c r="B20" s="11" t="str">
        <x:v>已有剧情内容数据及规则测试文件</x:v>
      </x:c>
      <x:c r="C20" s="11" t="str">
        <x:v>优先提取可复用规则与真实边界案例</x:v>
      </x:c>
      <x:c r="D20" s="11" t="str">
        <x:v>升级为任务图、NPC表、数据检查与组合回归</x:v>
      </x:c>
      <x:c r="E20" s="11" t="str">
        <x:v>路线图描述不作为功能已实现的证据</x:v>
      </x:c>
      <x:c r="F20" s="11" t="str">
        <x:v>web/content/ / tests/ / docs/SYSTEM_ROADMAP.md</x:v>
      </x:c>
    </x:row>
  </x:sheetData>
  <x:pageMargins left="0.7" right="0.7" top="0.75" bottom="0.75" header="0.3" footer="0.3"/>
  <x:tableParts count="1">
    <x:tablePart xmlns:r="http://schemas.openxmlformats.org/officeDocument/2006/relationships" r:id="Re9ed42afc02247cd"/>
  </x:tableParts>
</x:worksheet>
</file>

<file path=xl/worksheets/sheet9.xml><?xml version="1.0" encoding="utf-8"?>
<x:worksheet xmlns:x="http://schemas.openxmlformats.org/spreadsheetml/2006/main">
  <x:sheetPr>
    <x:tabColor rgb="FF176F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49" hidden="0" customWidth="1"/>
    <x:col min="3" max="3" width="49" hidden="0" customWidth="1"/>
    <x:col min="4" max="4" width="49" hidden="0" customWidth="1"/>
    <x:col min="5" max="5" width="58" hidden="0" customWidth="1"/>
    <x:col min="6" max="6" width="28" hidden="0" customWidth="1"/>
    <x:col min="7" max="7" width="54" hidden="0" customWidth="1"/>
    <x:col min="8" max="8" width="1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武道｜参考作品与产品取舍</x:v>
      </x:c>
      <x:c r="B2" s="3"/>
      <x:c r="C2" s="3"/>
      <x:c r="D2" s="3"/>
      <x:c r="E2" s="3"/>
      <x:c r="F2" s="3"/>
      <x:c r="G2" s="3"/>
      <x:c r="H2" s="3"/>
    </x:row>
    <x:row r="3" ht="23" customHeight="1">
      <x:c r="A3" s="7" t="str">
        <x:v>作品事实来自开发者产品介绍；武道目标、数量和实施方案是本次建议。</x:v>
      </x:c>
      <x:c r="B3" s="3"/>
      <x:c r="C3" s="3"/>
      <x:c r="D3" s="3"/>
      <x:c r="E3" s="3"/>
      <x:c r="F3" s="3"/>
      <x:c r="G3" s="3"/>
      <x:c r="H3" s="3"/>
    </x:row>
    <x:row r="4" ht="10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10" t="str">
        <x:v>参考／决策</x:v>
      </x:c>
      <x:c r="B5" s="10" t="str">
        <x:v>已核实特征／建议基线</x:v>
      </x:c>
      <x:c r="C5" s="10" t="str">
        <x:v>武道采用方向</x:v>
      </x:c>
      <x:c r="D5" s="10" t="str">
        <x:v>落地方式</x:v>
      </x:c>
      <x:c r="E5" s="10" t="str">
        <x:v>不直接继承的范围／边界</x:v>
      </x:c>
      <x:c r="F5" s="10" t="str">
        <x:v>依据类型</x:v>
      </x:c>
      <x:c r="G5" s="10" t="str">
        <x:v>来源网址</x:v>
      </x:c>
      <x:c r="H5" s="10" t="str">
        <x:v>核对日期</x:v>
      </x:c>
    </x:row>
    <x:row r="6" ht="104" customHeight="1">
      <x:c r="A6" s="12" t="str">
        <x:v>大侠立志传</x:v>
      </x:c>
      <x:c r="B6" s="11" t="str">
        <x:v>自由行动、武学组合、NPC关系与多路线江湖体验</x:v>
      </x:c>
      <x:c r="C6" s="11" t="str">
        <x:v>采用行动与后果驱动、多解任务和关系网络</x:v>
      </x:c>
      <x:c r="D6" s="11" t="str">
        <x:v>自由度建立在归属、记忆、身份、任务兜底等共享规则上</x:v>
      </x:c>
      <x:c r="E6" s="11" t="str">
        <x:v>不照搬地图、人物、台词、美术或具体数值；不将所有自由承诺一次做满</x:v>
      </x:c>
      <x:c r="F6" s="11" t="str">
        <x:v>开发者商店介绍</x:v>
      </x:c>
      <x:c r="G6" s="11" t="str">
        <x:v>https://store.steampowered.com/app/1948980/?l=tchinese</x:v>
      </x:c>
      <x:c r="H6" s="11" t="str">
        <x:v>2026-09-16</x:v>
      </x:c>
    </x:row>
    <x:row r="7" ht="104" customHeight="1">
      <x:c r="A7" s="13" t="str">
        <x:v>烟雨江湖</x:v>
      </x:c>
      <x:c r="B7" s="3" t="str">
        <x:v>探索、门派、武学、伙伴、任务与生活技艺</x:v>
      </x:c>
      <x:c r="C7" s="3" t="str">
        <x:v>采用地方探索密度、门派成长和生活能力的用途</x:v>
      </x:c>
      <x:c r="D7" s="3" t="str">
        <x:v>保持单机节奏，把日程和等待做成可理解的世界时间</x:v>
      </x:c>
      <x:c r="E7" s="3" t="str">
        <x:v>本计划不继承联网PvP、日常打卡或移动内购循环</x:v>
      </x:c>
      <x:c r="F7" s="3" t="str">
        <x:v>开发者提供的TapTap详情</x:v>
      </x:c>
      <x:c r="G7" s="3" t="str">
        <x:v>https://www.taptap.cn/app/169054/all-info</x:v>
      </x:c>
      <x:c r="H7" s="3" t="str">
        <x:v>2026-09-16</x:v>
      </x:c>
    </x:row>
    <x:row r="8" ht="104" customHeight="1">
      <x:c r="A8" s="12" t="str">
        <x:v>逸剑风云决</x:v>
      </x:c>
      <x:c r="B8" s="11" t="str">
        <x:v>队友与人物叙事；像素角色融合3D场景；支持两种战斗模式</x:v>
      </x:c>
      <x:c r="C8" s="11" t="str">
        <x:v>采用角色演出、场景层次、队伍关系和武学表现的质量思路</x:v>
      </x:c>
      <x:c r="D8" s="11" t="str">
        <x:v>用实际运行画面定标；一套主战斗制式先完成</x:v>
      </x:c>
      <x:c r="E8" s="11" t="str">
        <x:v>其画面属于混合2.5D方案，不是纯2D；本计划不默认同时制作两套战斗</x:v>
      </x:c>
      <x:c r="F8" s="11" t="str">
        <x:v>开发者Steam商店介绍</x:v>
      </x:c>
      <x:c r="G8" s="11" t="str">
        <x:v>https://store.steampowered.com/app/1876890/Wandering_Sword/?l=schinese</x:v>
      </x:c>
      <x:c r="H8" s="11" t="str">
        <x:v>2026-09-16</x:v>
      </x:c>
    </x:row>
    <x:row r="9" ht="104" customHeight="1">
      <x:c r="A9" s="13" t="str">
        <x:v>武道产品建议</x:v>
      </x:c>
      <x:c r="B9" s="3" t="str">
        <x:v>区域式开放江湖＋四人队伍＋可加入门派＋有限世界演化</x:v>
      </x:c>
      <x:c r="C9" s="3" t="str">
        <x:v>继承武道人物、世界观、武学与选择后果的价值</x:v>
      </x:c>
      <x:c r="D9" s="3" t="str">
        <x:v>原项目只约束可复用项，不约束目标体验</x:v>
      </x:c>
      <x:c r="E9" s="3" t="str">
        <x:v>这是本次方案建议，平台、画风、数量及工期不是已确认需求</x:v>
      </x:c>
      <x:c r="F9" s="3" t="str">
        <x:v>本次原创规划</x:v>
      </x:c>
      <x:c r="G9" s="3" t="str">
        <x:v>—</x:v>
      </x:c>
      <x:c r="H9" s="3" t="str">
        <x:v>2026-09-16</x:v>
      </x:c>
    </x:row>
    <x:row r="10" ht="104" customHeight="1">
      <x:c r="A10" s="12" t="str">
        <x:v>主战斗取舍</x:v>
      </x:c>
      <x:c r="B10" s="11" t="str">
        <x:v>建议先采用单一回合制网格战斗</x:v>
      </x:c>
      <x:c r="C10" s="11" t="str">
        <x:v>保持空间、兵器、控制和队伍协同的策略性</x:v>
      </x:c>
      <x:c r="D10" s="11" t="str">
        <x:v>S0灰盒比较操作、可读性和单位内容成本后冻结</x:v>
      </x:c>
      <x:c r="E10" s="11" t="str">
        <x:v>若保留原节点站位制，仍须验证四人独立操控与战场表现</x:v>
      </x:c>
      <x:c r="F10" s="11" t="str">
        <x:v>本次原创规划</x:v>
      </x:c>
      <x:c r="G10" s="11" t="str">
        <x:v>—</x:v>
      </x:c>
      <x:c r="H10" s="11" t="str">
        <x:v>2026-09-16</x:v>
      </x:c>
    </x:row>
    <x:row r="11" ht="104" customHeight="1">
      <x:c r="A11" s="13" t="str">
        <x:v>视觉路线取舍</x:v>
      </x:c>
      <x:c r="B11" s="3" t="str">
        <x:v>优先比较高质量2D与固定视角2.5D的运行样片</x:v>
      </x:c>
      <x:c r="C11" s="3" t="str">
        <x:v>目标是画面、移动、动画、光照和战斗读招共同达标</x:v>
      </x:c>
      <x:c r="D11" s="3" t="str">
        <x:v>一种生产路线胜出后再量产；不为“纯2D”牺牲效率</x:v>
      </x:c>
      <x:c r="E11" s="3" t="str">
        <x:v>已有Three.js原型不是引擎选择的默认答案</x:v>
      </x:c>
      <x:c r="F11" s="3" t="str">
        <x:v>本次原创规划</x:v>
      </x:c>
      <x:c r="G11" s="3" t="str">
        <x:v>—</x:v>
      </x:c>
      <x:c r="H11" s="3" t="str">
        <x:v>2026-09-16</x:v>
      </x:c>
    </x:row>
    <x:row r="12" ht="104" customHeight="1">
      <x:c r="A12" s="12" t="str">
        <x:v>世界自由度边界</x:v>
      </x:c>
      <x:c r="B12" s="11" t="str">
        <x:v>对重要NPC采用规则分级，离屏世界用有限状态更新</x:v>
      </x:c>
      <x:c r="C12" s="11" t="str">
        <x:v>保证玩家选择产生后果，同时让后果可解释可维护</x:v>
      </x:c>
      <x:c r="D12" s="11" t="str">
        <x:v>日程、治安、任务和门派通过共享事件协作</x:v>
      </x:c>
      <x:c r="E12" s="11" t="str">
        <x:v>不承诺全员可杀、无限自主生活或全世界实时物理模拟</x:v>
      </x:c>
      <x:c r="F12" s="11" t="str">
        <x:v>本次原创规划</x:v>
      </x:c>
      <x:c r="G12" s="11" t="str">
        <x:v>—</x:v>
      </x:c>
      <x:c r="H12" s="11" t="str">
        <x:v>2026-09-16</x:v>
      </x:c>
    </x:row>
    <x:row r="13" ht="104" customHeight="1">
      <x:c r="A13" s="13" t="str">
        <x:v>范围与排期口径</x:v>
      </x:c>
      <x:c r="B13" s="3" t="str">
        <x:v>数量用于讨论与估工，不是参考游戏的实际数量</x:v>
      </x:c>
      <x:c r="C13" s="3" t="str">
        <x:v>先测一个镇、两条任务解法、第二门派与第二组地图成本</x:v>
      </x:c>
      <x:c r="D13" s="3" t="str">
        <x:v>用实测制作速度、返工、跨系统测试和人力配置重排预算</x:v>
      </x:c>
      <x:c r="E13" s="3" t="str">
        <x:v>不直接沿用旧章节式版本的工期和预算；不以任务数计算工期</x:v>
      </x:c>
      <x:c r="F13" s="3" t="str">
        <x:v>本次原创规划</x:v>
      </x:c>
      <x:c r="G13" s="3" t="str">
        <x:v>—</x:v>
      </x:c>
      <x:c r="H13" s="3" t="str">
        <x:v>2026-09-16</x:v>
      </x:c>
    </x:row>
  </x:sheetData>
  <x:pageMargins left="0.7" right="0.7" top="0.75" bottom="0.75" header="0.3" footer="0.3"/>
  <x:tableParts count="1">
    <x:tablePart xmlns:r="http://schemas.openxmlformats.org/officeDocument/2006/relationships" r:id="R442d47cb0ebf4f3e"/>
  </x:tableParts>
</x:worksheet>
</file>